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claud\Downloads\"/>
    </mc:Choice>
  </mc:AlternateContent>
  <xr:revisionPtr revIDLastSave="0" documentId="13_ncr:1_{C3ACE244-7BD6-4519-A4E9-83FC80ECD9C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sumo" sheetId="4" r:id="rId1"/>
    <sheet name="Dia de Vencimento" sheetId="7" r:id="rId2"/>
    <sheet name="Range Refin" sheetId="6" r:id="rId3"/>
    <sheet name="Dados de entrada" sheetId="1" r:id="rId4"/>
    <sheet name="Fluxo detalhado" sheetId="3" r:id="rId5"/>
    <sheet name="Apoio" sheetId="5" r:id="rId6"/>
    <sheet name="Tabela de Comissionamento" sheetId="8" r:id="rId7"/>
    <sheet name="Tabelas de Custos marginais" sheetId="2" r:id="rId8"/>
  </sheets>
  <definedNames>
    <definedName name="_xlnm._FilterDatabase" localSheetId="5" hidden="1">Apoio!$P$1:$R$91</definedName>
    <definedName name="_xlnm._FilterDatabase" localSheetId="1" hidden="1">'Dia de Vencimento'!$A$1:$D$62</definedName>
    <definedName name="_xlnm._FilterDatabase" localSheetId="6" hidden="1">'Tabela de Comissionamento'!$A$1:$D$109</definedName>
    <definedName name="Listarefin">OFFSET('Range Refin'!$D$2,0,0,COUNTIF('Range Refin'!$D$2:$D$32,"&gt;"&amp;0),1)</definedName>
    <definedName name="solver_adj" localSheetId="0" hidden="1">Resumo!$E$11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Resumo!$E$11</definedName>
    <definedName name="solver_lhs2" localSheetId="0" hidden="1">Resumo!$E$11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Resumo!$O$23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3</definedName>
    <definedName name="solver_rhs2" localSheetId="0" hidden="1">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/>
  <c r="A3" i="6" s="1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L9" i="4"/>
  <c r="C109" i="8"/>
  <c r="C108" i="8"/>
  <c r="C107" i="8"/>
  <c r="C106" i="8"/>
  <c r="C105" i="8"/>
  <c r="C104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B21" i="1"/>
  <c r="B22" i="1"/>
  <c r="E24" i="4"/>
  <c r="E7" i="4"/>
  <c r="E17" i="5"/>
  <c r="E16" i="5"/>
  <c r="E14" i="5"/>
  <c r="E13" i="5"/>
  <c r="E12" i="5"/>
  <c r="E9" i="5"/>
  <c r="E8" i="5"/>
  <c r="E7" i="5"/>
  <c r="E6" i="5"/>
  <c r="E5" i="5"/>
  <c r="B2" i="1"/>
  <c r="B23" i="1"/>
  <c r="B8" i="1"/>
  <c r="X147" i="3"/>
  <c r="X146" i="3"/>
  <c r="X145" i="3"/>
  <c r="X144" i="3"/>
  <c r="X143" i="3"/>
  <c r="X142" i="3"/>
  <c r="X141" i="3"/>
  <c r="X140" i="3"/>
  <c r="X139" i="3"/>
  <c r="X138" i="3"/>
  <c r="X137" i="3"/>
  <c r="X136" i="3"/>
  <c r="X135" i="3"/>
  <c r="X134" i="3"/>
  <c r="X133" i="3"/>
  <c r="X132" i="3"/>
  <c r="X131" i="3"/>
  <c r="X130" i="3"/>
  <c r="X129" i="3"/>
  <c r="X128" i="3"/>
  <c r="X127" i="3"/>
  <c r="X126" i="3"/>
  <c r="X125" i="3"/>
  <c r="X124" i="3"/>
  <c r="X123" i="3"/>
  <c r="X122" i="3"/>
  <c r="X121" i="3"/>
  <c r="X120" i="3"/>
  <c r="X119" i="3"/>
  <c r="X118" i="3"/>
  <c r="X117" i="3"/>
  <c r="X116" i="3"/>
  <c r="X115" i="3"/>
  <c r="X114" i="3"/>
  <c r="X113" i="3"/>
  <c r="X112" i="3"/>
  <c r="X111" i="3"/>
  <c r="X110" i="3"/>
  <c r="X109" i="3"/>
  <c r="X108" i="3"/>
  <c r="X107" i="3"/>
  <c r="X106" i="3"/>
  <c r="X105" i="3"/>
  <c r="X104" i="3"/>
  <c r="X103" i="3"/>
  <c r="X102" i="3"/>
  <c r="X101" i="3"/>
  <c r="X100" i="3"/>
  <c r="X99" i="3"/>
  <c r="X98" i="3"/>
  <c r="X97" i="3"/>
  <c r="X96" i="3"/>
  <c r="X95" i="3"/>
  <c r="X94" i="3"/>
  <c r="X93" i="3"/>
  <c r="X92" i="3"/>
  <c r="X91" i="3"/>
  <c r="X90" i="3"/>
  <c r="X89" i="3"/>
  <c r="X88" i="3"/>
  <c r="X87" i="3"/>
  <c r="X86" i="3"/>
  <c r="X85" i="3"/>
  <c r="X84" i="3"/>
  <c r="X83" i="3"/>
  <c r="X82" i="3"/>
  <c r="X81" i="3"/>
  <c r="X80" i="3"/>
  <c r="X79" i="3"/>
  <c r="X78" i="3"/>
  <c r="X77" i="3"/>
  <c r="X76" i="3"/>
  <c r="X75" i="3"/>
  <c r="X74" i="3"/>
  <c r="X73" i="3"/>
  <c r="X72" i="3"/>
  <c r="X71" i="3"/>
  <c r="X70" i="3"/>
  <c r="X69" i="3"/>
  <c r="X68" i="3"/>
  <c r="X67" i="3"/>
  <c r="X66" i="3"/>
  <c r="X65" i="3"/>
  <c r="X64" i="3"/>
  <c r="X63" i="3"/>
  <c r="X62" i="3"/>
  <c r="X61" i="3"/>
  <c r="X60" i="3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X4" i="3"/>
  <c r="B30" i="1"/>
  <c r="B20" i="1"/>
  <c r="B18" i="1"/>
  <c r="B32" i="1"/>
  <c r="B41" i="1"/>
  <c r="B38" i="1"/>
  <c r="B39" i="1" s="1"/>
  <c r="B47" i="1"/>
  <c r="B48" i="1" s="1"/>
  <c r="B50" i="1"/>
  <c r="B45" i="1"/>
  <c r="B36" i="1"/>
  <c r="B29" i="1"/>
  <c r="K3" i="5"/>
  <c r="K1" i="5"/>
  <c r="B2" i="6" l="1"/>
  <c r="D2" i="6" s="1"/>
  <c r="K5" i="5"/>
  <c r="K4" i="5"/>
  <c r="B27" i="1"/>
  <c r="B7" i="1"/>
  <c r="B3" i="1"/>
  <c r="K2" i="1"/>
  <c r="AK3" i="3"/>
  <c r="AK4" i="3"/>
  <c r="AH3" i="3"/>
  <c r="AH4" i="3"/>
  <c r="D31" i="1"/>
  <c r="D40" i="1"/>
  <c r="D49" i="1"/>
  <c r="D22" i="1"/>
  <c r="B10" i="1"/>
  <c r="AC4" i="3" l="1"/>
  <c r="AL4" i="3"/>
  <c r="AI4" i="3"/>
  <c r="AF4" i="3"/>
  <c r="B3" i="6" l="1"/>
  <c r="D3" i="6" s="1"/>
  <c r="D21" i="1"/>
  <c r="B19" i="1"/>
  <c r="D19" i="1" s="1"/>
  <c r="B4" i="6" l="1"/>
  <c r="D4" i="6" s="1"/>
  <c r="G20" i="1"/>
  <c r="B5" i="6" l="1"/>
  <c r="D5" i="6" s="1"/>
  <c r="AE4" i="3"/>
  <c r="AB4" i="3"/>
  <c r="AB3" i="3"/>
  <c r="B6" i="6" l="1"/>
  <c r="D6" i="6" s="1"/>
  <c r="AN4" i="3"/>
  <c r="B7" i="6" l="1"/>
  <c r="D7" i="6"/>
  <c r="A5" i="3"/>
  <c r="V4" i="3"/>
  <c r="L4" i="3" s="1"/>
  <c r="M4" i="3" s="1"/>
  <c r="B4" i="3"/>
  <c r="Y4" i="3" s="1"/>
  <c r="Y5" i="3" s="1"/>
  <c r="Y6" i="3" s="1"/>
  <c r="Y7" i="3" s="1"/>
  <c r="Y8" i="3" s="1"/>
  <c r="Y9" i="3" s="1"/>
  <c r="Y10" i="3" s="1"/>
  <c r="Y11" i="3" s="1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Y38" i="3" s="1"/>
  <c r="Y39" i="3" s="1"/>
  <c r="Y40" i="3" s="1"/>
  <c r="Y41" i="3" s="1"/>
  <c r="Y42" i="3" s="1"/>
  <c r="Y43" i="3" s="1"/>
  <c r="Y44" i="3" s="1"/>
  <c r="Y45" i="3" s="1"/>
  <c r="Y46" i="3" s="1"/>
  <c r="Y47" i="3" s="1"/>
  <c r="Y48" i="3" s="1"/>
  <c r="Y49" i="3" s="1"/>
  <c r="Y50" i="3" s="1"/>
  <c r="Y51" i="3" s="1"/>
  <c r="Y52" i="3" s="1"/>
  <c r="Y53" i="3" s="1"/>
  <c r="Y54" i="3" s="1"/>
  <c r="Y55" i="3" s="1"/>
  <c r="Y56" i="3" s="1"/>
  <c r="Y57" i="3" s="1"/>
  <c r="Y58" i="3" s="1"/>
  <c r="Y59" i="3" s="1"/>
  <c r="Y60" i="3" s="1"/>
  <c r="Y61" i="3" s="1"/>
  <c r="Y62" i="3" s="1"/>
  <c r="Y63" i="3" s="1"/>
  <c r="Y64" i="3" s="1"/>
  <c r="Y65" i="3" s="1"/>
  <c r="Y66" i="3" s="1"/>
  <c r="Y67" i="3" s="1"/>
  <c r="Y68" i="3" s="1"/>
  <c r="Y69" i="3" s="1"/>
  <c r="Y70" i="3" s="1"/>
  <c r="Y71" i="3" s="1"/>
  <c r="Y72" i="3" s="1"/>
  <c r="Y73" i="3" s="1"/>
  <c r="Y74" i="3" s="1"/>
  <c r="Y75" i="3" s="1"/>
  <c r="Y76" i="3" s="1"/>
  <c r="Y77" i="3" s="1"/>
  <c r="Y78" i="3" s="1"/>
  <c r="Y79" i="3" s="1"/>
  <c r="Y80" i="3" s="1"/>
  <c r="Y81" i="3" s="1"/>
  <c r="Y82" i="3" s="1"/>
  <c r="Y83" i="3" s="1"/>
  <c r="Y84" i="3" s="1"/>
  <c r="Y85" i="3" s="1"/>
  <c r="Y86" i="3" s="1"/>
  <c r="Y87" i="3" s="1"/>
  <c r="Y88" i="3" s="1"/>
  <c r="Y89" i="3" s="1"/>
  <c r="Y90" i="3" s="1"/>
  <c r="Y91" i="3" s="1"/>
  <c r="Y92" i="3" s="1"/>
  <c r="Y93" i="3" s="1"/>
  <c r="Y94" i="3" s="1"/>
  <c r="Y95" i="3" s="1"/>
  <c r="Y96" i="3" s="1"/>
  <c r="Y97" i="3" s="1"/>
  <c r="Y98" i="3" s="1"/>
  <c r="Y99" i="3" s="1"/>
  <c r="Y100" i="3" s="1"/>
  <c r="Y101" i="3" s="1"/>
  <c r="Y102" i="3" s="1"/>
  <c r="Y103" i="3" s="1"/>
  <c r="Y104" i="3" s="1"/>
  <c r="Y105" i="3" s="1"/>
  <c r="Y106" i="3" s="1"/>
  <c r="Y107" i="3" s="1"/>
  <c r="Y108" i="3" s="1"/>
  <c r="Y109" i="3" s="1"/>
  <c r="Y110" i="3" s="1"/>
  <c r="Y111" i="3" s="1"/>
  <c r="Y112" i="3" s="1"/>
  <c r="Y113" i="3" s="1"/>
  <c r="Y114" i="3" s="1"/>
  <c r="Y115" i="3" s="1"/>
  <c r="Y116" i="3" s="1"/>
  <c r="Y117" i="3" s="1"/>
  <c r="Y118" i="3" s="1"/>
  <c r="Y119" i="3" s="1"/>
  <c r="Y120" i="3" s="1"/>
  <c r="Y121" i="3" s="1"/>
  <c r="Y122" i="3" s="1"/>
  <c r="Y123" i="3" s="1"/>
  <c r="Y124" i="3" s="1"/>
  <c r="Y125" i="3" s="1"/>
  <c r="Y126" i="3" s="1"/>
  <c r="Y127" i="3" s="1"/>
  <c r="Y128" i="3" s="1"/>
  <c r="Y129" i="3" s="1"/>
  <c r="Y130" i="3" s="1"/>
  <c r="Y131" i="3" s="1"/>
  <c r="Y132" i="3" s="1"/>
  <c r="Y133" i="3" s="1"/>
  <c r="Y134" i="3" s="1"/>
  <c r="Y135" i="3" s="1"/>
  <c r="Y136" i="3" s="1"/>
  <c r="Y137" i="3" s="1"/>
  <c r="Y138" i="3" s="1"/>
  <c r="Y139" i="3" s="1"/>
  <c r="Y140" i="3" s="1"/>
  <c r="Y141" i="3" s="1"/>
  <c r="Y142" i="3" s="1"/>
  <c r="Y143" i="3" s="1"/>
  <c r="Y144" i="3" s="1"/>
  <c r="Y145" i="3" s="1"/>
  <c r="Y146" i="3" s="1"/>
  <c r="Y147" i="3" s="1"/>
  <c r="B3" i="3"/>
  <c r="C3" i="2"/>
  <c r="F16" i="2" s="1"/>
  <c r="N16" i="2" s="1"/>
  <c r="H11" i="1"/>
  <c r="G11" i="1"/>
  <c r="K9" i="1"/>
  <c r="J9" i="1"/>
  <c r="H9" i="1"/>
  <c r="G9" i="1"/>
  <c r="B9" i="1"/>
  <c r="H8" i="1"/>
  <c r="H10" i="1" s="1"/>
  <c r="G8" i="1"/>
  <c r="H7" i="1"/>
  <c r="K6" i="1"/>
  <c r="J6" i="1"/>
  <c r="H4" i="1"/>
  <c r="B8" i="6" l="1"/>
  <c r="D8" i="6"/>
  <c r="AL5" i="3"/>
  <c r="AF5" i="3"/>
  <c r="AI5" i="3"/>
  <c r="AC5" i="3"/>
  <c r="AH5" i="3"/>
  <c r="AK5" i="3"/>
  <c r="Y3" i="3"/>
  <c r="F32" i="2"/>
  <c r="F24" i="2"/>
  <c r="F25" i="2"/>
  <c r="F22" i="2"/>
  <c r="F30" i="2"/>
  <c r="F17" i="2"/>
  <c r="AE5" i="3"/>
  <c r="AB5" i="3"/>
  <c r="H4" i="3"/>
  <c r="S4" i="3" s="1"/>
  <c r="C4" i="3"/>
  <c r="AA4" i="3" s="1"/>
  <c r="J4" i="3"/>
  <c r="K4" i="3"/>
  <c r="J16" i="2"/>
  <c r="F19" i="2"/>
  <c r="F27" i="2"/>
  <c r="A6" i="3"/>
  <c r="F15" i="2"/>
  <c r="F23" i="2"/>
  <c r="F31" i="2"/>
  <c r="F28" i="2"/>
  <c r="C5" i="3"/>
  <c r="F18" i="2"/>
  <c r="F26" i="2"/>
  <c r="L5" i="3"/>
  <c r="M5" i="3" s="1"/>
  <c r="B5" i="3"/>
  <c r="H5" i="3" s="1"/>
  <c r="F20" i="2"/>
  <c r="F21" i="2"/>
  <c r="F29" i="2"/>
  <c r="B9" i="6" l="1"/>
  <c r="D9" i="6" s="1"/>
  <c r="AC6" i="3"/>
  <c r="AL6" i="3"/>
  <c r="AI6" i="3"/>
  <c r="AF6" i="3"/>
  <c r="AA5" i="3"/>
  <c r="AJ4" i="3"/>
  <c r="AM4" i="3"/>
  <c r="AD4" i="3"/>
  <c r="AG4" i="3"/>
  <c r="AK6" i="3"/>
  <c r="AH6" i="3"/>
  <c r="AN5" i="3"/>
  <c r="N32" i="2"/>
  <c r="J32" i="2"/>
  <c r="J25" i="2"/>
  <c r="N25" i="2"/>
  <c r="N24" i="2"/>
  <c r="J24" i="2"/>
  <c r="J22" i="2"/>
  <c r="N22" i="2"/>
  <c r="N30" i="2"/>
  <c r="J30" i="2"/>
  <c r="J17" i="2"/>
  <c r="N17" i="2"/>
  <c r="AE6" i="3"/>
  <c r="AB6" i="3"/>
  <c r="S5" i="3"/>
  <c r="N20" i="2"/>
  <c r="J20" i="2"/>
  <c r="N28" i="2"/>
  <c r="J28" i="2"/>
  <c r="N21" i="2"/>
  <c r="J21" i="2"/>
  <c r="A7" i="3"/>
  <c r="B6" i="3"/>
  <c r="H6" i="3" s="1"/>
  <c r="C6" i="3"/>
  <c r="N27" i="2"/>
  <c r="J27" i="2"/>
  <c r="N15" i="2"/>
  <c r="J15" i="2"/>
  <c r="N19" i="2"/>
  <c r="J19" i="2"/>
  <c r="J26" i="2"/>
  <c r="N26" i="2"/>
  <c r="N31" i="2"/>
  <c r="J31" i="2"/>
  <c r="J29" i="2"/>
  <c r="N29" i="2"/>
  <c r="J18" i="2"/>
  <c r="N18" i="2"/>
  <c r="N23" i="2"/>
  <c r="J23" i="2"/>
  <c r="B10" i="6" l="1"/>
  <c r="D10" i="6" s="1"/>
  <c r="AL7" i="3"/>
  <c r="AC7" i="3"/>
  <c r="AI7" i="3"/>
  <c r="AF7" i="3"/>
  <c r="AM5" i="3"/>
  <c r="AG5" i="3"/>
  <c r="AJ5" i="3"/>
  <c r="AD5" i="3"/>
  <c r="AA6" i="3"/>
  <c r="AH7" i="3"/>
  <c r="AK7" i="3"/>
  <c r="AN6" i="3"/>
  <c r="AE7" i="3"/>
  <c r="AB7" i="3"/>
  <c r="S6" i="3"/>
  <c r="C7" i="3"/>
  <c r="B7" i="3"/>
  <c r="H7" i="3" s="1"/>
  <c r="A8" i="3"/>
  <c r="B11" i="6" l="1"/>
  <c r="D11" i="6" s="1"/>
  <c r="AI8" i="3"/>
  <c r="AF8" i="3"/>
  <c r="AL8" i="3"/>
  <c r="AC8" i="3"/>
  <c r="AJ6" i="3"/>
  <c r="AG6" i="3"/>
  <c r="AM6" i="3"/>
  <c r="AD6" i="3"/>
  <c r="AA7" i="3"/>
  <c r="AH8" i="3"/>
  <c r="AK8" i="3"/>
  <c r="AN7" i="3"/>
  <c r="AE8" i="3"/>
  <c r="AB8" i="3"/>
  <c r="S7" i="3"/>
  <c r="C8" i="3"/>
  <c r="B8" i="3"/>
  <c r="H8" i="3" s="1"/>
  <c r="A9" i="3"/>
  <c r="B12" i="6" l="1"/>
  <c r="D12" i="6" s="1"/>
  <c r="AC9" i="3"/>
  <c r="AL9" i="3"/>
  <c r="AI9" i="3"/>
  <c r="AF9" i="3"/>
  <c r="AA8" i="3"/>
  <c r="AD7" i="3"/>
  <c r="AM7" i="3"/>
  <c r="AJ7" i="3"/>
  <c r="AG7" i="3"/>
  <c r="AK9" i="3"/>
  <c r="AH9" i="3"/>
  <c r="AN8" i="3"/>
  <c r="AE9" i="3"/>
  <c r="AB9" i="3"/>
  <c r="S8" i="3"/>
  <c r="A10" i="3"/>
  <c r="C9" i="3"/>
  <c r="B9" i="3"/>
  <c r="B13" i="6" l="1"/>
  <c r="D13" i="6" s="1"/>
  <c r="AL10" i="3"/>
  <c r="AF10" i="3"/>
  <c r="AC10" i="3"/>
  <c r="AI10" i="3"/>
  <c r="AJ8" i="3"/>
  <c r="AG8" i="3"/>
  <c r="AM8" i="3"/>
  <c r="AD8" i="3"/>
  <c r="AA9" i="3"/>
  <c r="AK10" i="3"/>
  <c r="AH10" i="3"/>
  <c r="AN9" i="3"/>
  <c r="H9" i="3"/>
  <c r="S9" i="3" s="1"/>
  <c r="AE10" i="3"/>
  <c r="AB10" i="3"/>
  <c r="A11" i="3"/>
  <c r="B10" i="3"/>
  <c r="H10" i="3" s="1"/>
  <c r="S10" i="3" s="1"/>
  <c r="C10" i="3"/>
  <c r="B14" i="6" l="1"/>
  <c r="D14" i="6" s="1"/>
  <c r="AI11" i="3"/>
  <c r="AF11" i="3"/>
  <c r="AC11" i="3"/>
  <c r="AL11" i="3"/>
  <c r="AA10" i="3"/>
  <c r="AD9" i="3"/>
  <c r="AJ9" i="3"/>
  <c r="AM9" i="3"/>
  <c r="AG9" i="3"/>
  <c r="AH11" i="3"/>
  <c r="AK11" i="3"/>
  <c r="AN10" i="3"/>
  <c r="AB11" i="3"/>
  <c r="AE11" i="3"/>
  <c r="C11" i="3"/>
  <c r="B11" i="3"/>
  <c r="H11" i="3" s="1"/>
  <c r="S11" i="3" s="1"/>
  <c r="A12" i="3"/>
  <c r="B15" i="6" l="1"/>
  <c r="D15" i="6" s="1"/>
  <c r="AC12" i="3"/>
  <c r="AL12" i="3"/>
  <c r="AI12" i="3"/>
  <c r="AF12" i="3"/>
  <c r="AG10" i="3"/>
  <c r="AJ10" i="3"/>
  <c r="AM10" i="3"/>
  <c r="AD10" i="3"/>
  <c r="AA11" i="3"/>
  <c r="AK12" i="3"/>
  <c r="AH12" i="3"/>
  <c r="AN11" i="3"/>
  <c r="AB12" i="3"/>
  <c r="AE12" i="3"/>
  <c r="C12" i="3"/>
  <c r="A13" i="3"/>
  <c r="B12" i="3"/>
  <c r="H12" i="3" s="1"/>
  <c r="B16" i="6" l="1"/>
  <c r="D16" i="6"/>
  <c r="AF13" i="3"/>
  <c r="AC13" i="3"/>
  <c r="AL13" i="3"/>
  <c r="AI13" i="3"/>
  <c r="AA12" i="3"/>
  <c r="AJ11" i="3"/>
  <c r="AG11" i="3"/>
  <c r="AD11" i="3"/>
  <c r="AM11" i="3"/>
  <c r="AK13" i="3"/>
  <c r="AH13" i="3"/>
  <c r="AN12" i="3"/>
  <c r="AE13" i="3"/>
  <c r="AB13" i="3"/>
  <c r="S12" i="3"/>
  <c r="A14" i="3"/>
  <c r="C13" i="3"/>
  <c r="B13" i="3"/>
  <c r="H13" i="3" s="1"/>
  <c r="B17" i="6" l="1"/>
  <c r="D17" i="6" s="1"/>
  <c r="AI14" i="3"/>
  <c r="AF14" i="3"/>
  <c r="AC14" i="3"/>
  <c r="AL14" i="3"/>
  <c r="AA13" i="3"/>
  <c r="AJ12" i="3"/>
  <c r="AD12" i="3"/>
  <c r="AG12" i="3"/>
  <c r="AM12" i="3"/>
  <c r="AH14" i="3"/>
  <c r="AK14" i="3"/>
  <c r="AN13" i="3"/>
  <c r="AE14" i="3"/>
  <c r="AB14" i="3"/>
  <c r="S13" i="3"/>
  <c r="A15" i="3"/>
  <c r="C14" i="3"/>
  <c r="B14" i="3"/>
  <c r="H14" i="3" s="1"/>
  <c r="B18" i="6" l="1"/>
  <c r="D18" i="6" s="1"/>
  <c r="AC15" i="3"/>
  <c r="AL15" i="3"/>
  <c r="AF15" i="3"/>
  <c r="AI15" i="3"/>
  <c r="AG13" i="3"/>
  <c r="AM13" i="3"/>
  <c r="AJ13" i="3"/>
  <c r="AD13" i="3"/>
  <c r="AA14" i="3"/>
  <c r="AK15" i="3"/>
  <c r="AH15" i="3"/>
  <c r="AN14" i="3"/>
  <c r="AE15" i="3"/>
  <c r="AB15" i="3"/>
  <c r="S14" i="3"/>
  <c r="C15" i="3"/>
  <c r="B15" i="3"/>
  <c r="H15" i="3" s="1"/>
  <c r="S15" i="3" s="1"/>
  <c r="A16" i="3"/>
  <c r="B19" i="6" l="1"/>
  <c r="D19" i="6" s="1"/>
  <c r="AC16" i="3"/>
  <c r="AL16" i="3"/>
  <c r="AI16" i="3"/>
  <c r="AF16" i="3"/>
  <c r="AA15" i="3"/>
  <c r="AG14" i="3"/>
  <c r="AJ14" i="3"/>
  <c r="AM14" i="3"/>
  <c r="AD14" i="3"/>
  <c r="AK16" i="3"/>
  <c r="AH16" i="3"/>
  <c r="AN15" i="3"/>
  <c r="AE16" i="3"/>
  <c r="AB16" i="3"/>
  <c r="A17" i="3"/>
  <c r="C16" i="3"/>
  <c r="B16" i="3"/>
  <c r="H16" i="3" s="1"/>
  <c r="S16" i="3" s="1"/>
  <c r="B20" i="6" l="1"/>
  <c r="D20" i="6" s="1"/>
  <c r="AL17" i="3"/>
  <c r="AI17" i="3"/>
  <c r="AF17" i="3"/>
  <c r="AC17" i="3"/>
  <c r="AG15" i="3"/>
  <c r="AM15" i="3"/>
  <c r="AJ15" i="3"/>
  <c r="AD15" i="3"/>
  <c r="AA16" i="3"/>
  <c r="AK17" i="3"/>
  <c r="AH17" i="3"/>
  <c r="AN16" i="3"/>
  <c r="AE17" i="3"/>
  <c r="AB17" i="3"/>
  <c r="A18" i="3"/>
  <c r="C17" i="3"/>
  <c r="B17" i="3"/>
  <c r="H17" i="3" s="1"/>
  <c r="B21" i="6" l="1"/>
  <c r="D21" i="6" s="1"/>
  <c r="AC18" i="3"/>
  <c r="AI18" i="3"/>
  <c r="AL18" i="3"/>
  <c r="AF18" i="3"/>
  <c r="AA17" i="3"/>
  <c r="AM16" i="3"/>
  <c r="AD16" i="3"/>
  <c r="AJ16" i="3"/>
  <c r="AG16" i="3"/>
  <c r="AH18" i="3"/>
  <c r="AK18" i="3"/>
  <c r="AN17" i="3"/>
  <c r="AE18" i="3"/>
  <c r="AB18" i="3"/>
  <c r="S17" i="3"/>
  <c r="B18" i="3"/>
  <c r="H18" i="3" s="1"/>
  <c r="C18" i="3"/>
  <c r="A19" i="3"/>
  <c r="B22" i="6" l="1"/>
  <c r="D22" i="6"/>
  <c r="AF19" i="3"/>
  <c r="AC19" i="3"/>
  <c r="AL19" i="3"/>
  <c r="AI19" i="3"/>
  <c r="AN18" i="3"/>
  <c r="AG17" i="3"/>
  <c r="AJ17" i="3"/>
  <c r="AM17" i="3"/>
  <c r="AD17" i="3"/>
  <c r="AA18" i="3"/>
  <c r="AK19" i="3"/>
  <c r="AH19" i="3"/>
  <c r="AB19" i="3"/>
  <c r="AE19" i="3"/>
  <c r="S18" i="3"/>
  <c r="C19" i="3"/>
  <c r="B19" i="3"/>
  <c r="H19" i="3" s="1"/>
  <c r="A20" i="3"/>
  <c r="B23" i="6" l="1"/>
  <c r="D23" i="6" s="1"/>
  <c r="AD18" i="3"/>
  <c r="AA19" i="3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AA38" i="3" s="1"/>
  <c r="AA39" i="3" s="1"/>
  <c r="AA40" i="3" s="1"/>
  <c r="AA41" i="3" s="1"/>
  <c r="AA42" i="3" s="1"/>
  <c r="AA43" i="3" s="1"/>
  <c r="AA44" i="3" s="1"/>
  <c r="AA45" i="3" s="1"/>
  <c r="AA46" i="3" s="1"/>
  <c r="AA47" i="3" s="1"/>
  <c r="AA48" i="3" s="1"/>
  <c r="AA49" i="3" s="1"/>
  <c r="AA50" i="3" s="1"/>
  <c r="AA51" i="3" s="1"/>
  <c r="AA52" i="3" s="1"/>
  <c r="AA53" i="3" s="1"/>
  <c r="AA54" i="3" s="1"/>
  <c r="AA55" i="3" s="1"/>
  <c r="AA56" i="3" s="1"/>
  <c r="AA57" i="3" s="1"/>
  <c r="AA58" i="3" s="1"/>
  <c r="AA59" i="3" s="1"/>
  <c r="AA60" i="3" s="1"/>
  <c r="AA61" i="3" s="1"/>
  <c r="AA62" i="3" s="1"/>
  <c r="AA63" i="3" s="1"/>
  <c r="AA64" i="3" s="1"/>
  <c r="AA65" i="3" s="1"/>
  <c r="AA66" i="3" s="1"/>
  <c r="AA67" i="3" s="1"/>
  <c r="AA68" i="3" s="1"/>
  <c r="AA69" i="3" s="1"/>
  <c r="AA70" i="3" s="1"/>
  <c r="AA71" i="3" s="1"/>
  <c r="AA72" i="3" s="1"/>
  <c r="AA73" i="3" s="1"/>
  <c r="AA74" i="3" s="1"/>
  <c r="AA75" i="3" s="1"/>
  <c r="AA76" i="3" s="1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AA96" i="3" s="1"/>
  <c r="AA97" i="3" s="1"/>
  <c r="AA98" i="3" s="1"/>
  <c r="AA99" i="3" s="1"/>
  <c r="AA100" i="3" s="1"/>
  <c r="AA101" i="3" s="1"/>
  <c r="AA102" i="3" s="1"/>
  <c r="AA103" i="3" s="1"/>
  <c r="AA104" i="3" s="1"/>
  <c r="AA105" i="3" s="1"/>
  <c r="AA106" i="3" s="1"/>
  <c r="AA107" i="3" s="1"/>
  <c r="AA108" i="3" s="1"/>
  <c r="AA109" i="3" s="1"/>
  <c r="AA110" i="3" s="1"/>
  <c r="AA111" i="3" s="1"/>
  <c r="AA112" i="3" s="1"/>
  <c r="AA113" i="3" s="1"/>
  <c r="AA114" i="3" s="1"/>
  <c r="AA115" i="3" s="1"/>
  <c r="AJ18" i="3"/>
  <c r="AG18" i="3"/>
  <c r="AM18" i="3"/>
  <c r="AL20" i="3"/>
  <c r="AI20" i="3"/>
  <c r="AC20" i="3"/>
  <c r="AF20" i="3"/>
  <c r="AK20" i="3"/>
  <c r="AH20" i="3"/>
  <c r="AN19" i="3"/>
  <c r="AE20" i="3"/>
  <c r="AB20" i="3"/>
  <c r="S19" i="3"/>
  <c r="B20" i="3"/>
  <c r="H20" i="3" s="1"/>
  <c r="A21" i="3"/>
  <c r="C20" i="3"/>
  <c r="B24" i="6" l="1"/>
  <c r="D24" i="6" s="1"/>
  <c r="AG19" i="3"/>
  <c r="AJ19" i="3"/>
  <c r="AM19" i="3"/>
  <c r="AD19" i="3"/>
  <c r="AA116" i="3"/>
  <c r="AD20" i="3"/>
  <c r="AJ20" i="3"/>
  <c r="AM20" i="3"/>
  <c r="AG20" i="3"/>
  <c r="AC21" i="3"/>
  <c r="AI21" i="3"/>
  <c r="AF21" i="3"/>
  <c r="AL21" i="3"/>
  <c r="AK21" i="3"/>
  <c r="AH21" i="3"/>
  <c r="AN20" i="3"/>
  <c r="AB21" i="3"/>
  <c r="AE21" i="3"/>
  <c r="S20" i="3"/>
  <c r="A22" i="3"/>
  <c r="C21" i="3"/>
  <c r="B21" i="3"/>
  <c r="H21" i="3" s="1"/>
  <c r="B25" i="6" l="1"/>
  <c r="D25" i="6" s="1"/>
  <c r="AA117" i="3"/>
  <c r="AD21" i="3"/>
  <c r="AJ21" i="3"/>
  <c r="AM21" i="3"/>
  <c r="AG21" i="3"/>
  <c r="AC22" i="3"/>
  <c r="AL22" i="3"/>
  <c r="AI22" i="3"/>
  <c r="AF22" i="3"/>
  <c r="AK22" i="3"/>
  <c r="AH22" i="3"/>
  <c r="AN21" i="3"/>
  <c r="AE22" i="3"/>
  <c r="AB22" i="3"/>
  <c r="S21" i="3"/>
  <c r="B22" i="3"/>
  <c r="H22" i="3" s="1"/>
  <c r="S22" i="3" s="1"/>
  <c r="C22" i="3"/>
  <c r="A23" i="3"/>
  <c r="B26" i="6" l="1"/>
  <c r="D26" i="6" s="1"/>
  <c r="AA118" i="3"/>
  <c r="AJ22" i="3"/>
  <c r="AM22" i="3"/>
  <c r="AD22" i="3"/>
  <c r="AG22" i="3"/>
  <c r="AL23" i="3"/>
  <c r="AI23" i="3"/>
  <c r="AF23" i="3"/>
  <c r="AC23" i="3"/>
  <c r="AH23" i="3"/>
  <c r="AK23" i="3"/>
  <c r="AN22" i="3"/>
  <c r="AE23" i="3"/>
  <c r="AB23" i="3"/>
  <c r="C23" i="3"/>
  <c r="B23" i="3"/>
  <c r="H23" i="3" s="1"/>
  <c r="A24" i="3"/>
  <c r="B27" i="6" l="1"/>
  <c r="D27" i="6" s="1"/>
  <c r="AA119" i="3"/>
  <c r="AM23" i="3"/>
  <c r="AD23" i="3"/>
  <c r="AJ23" i="3"/>
  <c r="AG23" i="3"/>
  <c r="AC24" i="3"/>
  <c r="AI24" i="3"/>
  <c r="AF24" i="3"/>
  <c r="AL24" i="3"/>
  <c r="AK24" i="3"/>
  <c r="AH24" i="3"/>
  <c r="AN23" i="3"/>
  <c r="AE24" i="3"/>
  <c r="AB24" i="3"/>
  <c r="S23" i="3"/>
  <c r="A25" i="3"/>
  <c r="C24" i="3"/>
  <c r="B24" i="3"/>
  <c r="H24" i="3" s="1"/>
  <c r="B28" i="6" l="1"/>
  <c r="D28" i="6"/>
  <c r="AA120" i="3"/>
  <c r="AG24" i="3"/>
  <c r="AJ24" i="3"/>
  <c r="AD24" i="3"/>
  <c r="AM24" i="3"/>
  <c r="AC25" i="3"/>
  <c r="AL25" i="3"/>
  <c r="AI25" i="3"/>
  <c r="AF25" i="3"/>
  <c r="AK25" i="3"/>
  <c r="AH25" i="3"/>
  <c r="AN24" i="3"/>
  <c r="AE25" i="3"/>
  <c r="AB25" i="3"/>
  <c r="S24" i="3"/>
  <c r="A26" i="3"/>
  <c r="C25" i="3"/>
  <c r="B25" i="3"/>
  <c r="H25" i="3" s="1"/>
  <c r="B29" i="6" l="1"/>
  <c r="D29" i="6" s="1"/>
  <c r="AA121" i="3"/>
  <c r="AD25" i="3"/>
  <c r="AJ25" i="3"/>
  <c r="AM25" i="3"/>
  <c r="AG25" i="3"/>
  <c r="AL26" i="3"/>
  <c r="AI26" i="3"/>
  <c r="AF26" i="3"/>
  <c r="AC26" i="3"/>
  <c r="AK26" i="3"/>
  <c r="AH26" i="3"/>
  <c r="AN25" i="3"/>
  <c r="AE26" i="3"/>
  <c r="AB26" i="3"/>
  <c r="S25" i="3"/>
  <c r="B26" i="3"/>
  <c r="H26" i="3" s="1"/>
  <c r="C26" i="3"/>
  <c r="A27" i="3"/>
  <c r="B30" i="6" l="1"/>
  <c r="D30" i="6" s="1"/>
  <c r="AA122" i="3"/>
  <c r="AM26" i="3"/>
  <c r="AJ26" i="3"/>
  <c r="AG26" i="3"/>
  <c r="AD26" i="3"/>
  <c r="AC27" i="3"/>
  <c r="AL27" i="3"/>
  <c r="AI27" i="3"/>
  <c r="AF27" i="3"/>
  <c r="AK27" i="3"/>
  <c r="AH27" i="3"/>
  <c r="AN26" i="3"/>
  <c r="AE27" i="3"/>
  <c r="AB27" i="3"/>
  <c r="S26" i="3"/>
  <c r="C27" i="3"/>
  <c r="B27" i="3"/>
  <c r="H27" i="3" s="1"/>
  <c r="S27" i="3" s="1"/>
  <c r="A28" i="3"/>
  <c r="B31" i="6" l="1"/>
  <c r="D31" i="6"/>
  <c r="AA123" i="3"/>
  <c r="AA124" i="3" s="1"/>
  <c r="AJ27" i="3"/>
  <c r="AG27" i="3"/>
  <c r="AD27" i="3"/>
  <c r="AM27" i="3"/>
  <c r="AC28" i="3"/>
  <c r="AL28" i="3"/>
  <c r="AI28" i="3"/>
  <c r="AF28" i="3"/>
  <c r="AH28" i="3"/>
  <c r="AK28" i="3"/>
  <c r="AN27" i="3"/>
  <c r="AE28" i="3"/>
  <c r="AB28" i="3"/>
  <c r="B28" i="3"/>
  <c r="H28" i="3" s="1"/>
  <c r="A29" i="3"/>
  <c r="C28" i="3"/>
  <c r="B32" i="6" l="1"/>
  <c r="D32" i="6" s="1"/>
  <c r="AA125" i="3"/>
  <c r="AM28" i="3"/>
  <c r="AG28" i="3"/>
  <c r="AD28" i="3"/>
  <c r="AJ28" i="3"/>
  <c r="AC29" i="3"/>
  <c r="AI29" i="3"/>
  <c r="AF29" i="3"/>
  <c r="AL29" i="3"/>
  <c r="AK29" i="3"/>
  <c r="AH29" i="3"/>
  <c r="AN28" i="3"/>
  <c r="AB29" i="3"/>
  <c r="AE29" i="3"/>
  <c r="S28" i="3"/>
  <c r="A30" i="3"/>
  <c r="C29" i="3"/>
  <c r="B29" i="3"/>
  <c r="H29" i="3" s="1"/>
  <c r="S29" i="3" s="1"/>
  <c r="AA126" i="3" l="1"/>
  <c r="AD29" i="3"/>
  <c r="AM29" i="3"/>
  <c r="AG29" i="3"/>
  <c r="AJ29" i="3"/>
  <c r="AL30" i="3"/>
  <c r="AI30" i="3"/>
  <c r="AF30" i="3"/>
  <c r="AC30" i="3"/>
  <c r="AH30" i="3"/>
  <c r="AK30" i="3"/>
  <c r="AN29" i="3"/>
  <c r="AE30" i="3"/>
  <c r="AB30" i="3"/>
  <c r="B30" i="3"/>
  <c r="H30" i="3" s="1"/>
  <c r="S30" i="3" s="1"/>
  <c r="C30" i="3"/>
  <c r="A31" i="3"/>
  <c r="AA127" i="3" l="1"/>
  <c r="AJ30" i="3"/>
  <c r="AM30" i="3"/>
  <c r="AG30" i="3"/>
  <c r="AD30" i="3"/>
  <c r="AF31" i="3"/>
  <c r="AC31" i="3"/>
  <c r="AL31" i="3"/>
  <c r="AI31" i="3"/>
  <c r="AK31" i="3"/>
  <c r="AH31" i="3"/>
  <c r="AN30" i="3"/>
  <c r="AE31" i="3"/>
  <c r="AB31" i="3"/>
  <c r="C31" i="3"/>
  <c r="B31" i="3"/>
  <c r="H31" i="3" s="1"/>
  <c r="S31" i="3" s="1"/>
  <c r="A32" i="3"/>
  <c r="AA128" i="3" l="1"/>
  <c r="AG31" i="3"/>
  <c r="AJ31" i="3"/>
  <c r="AM31" i="3"/>
  <c r="AD31" i="3"/>
  <c r="AC32" i="3"/>
  <c r="AI32" i="3"/>
  <c r="AL32" i="3"/>
  <c r="AF32" i="3"/>
  <c r="AH32" i="3"/>
  <c r="AK32" i="3"/>
  <c r="AN31" i="3"/>
  <c r="AE32" i="3"/>
  <c r="AB32" i="3"/>
  <c r="A33" i="3"/>
  <c r="C32" i="3"/>
  <c r="B32" i="3"/>
  <c r="H32" i="3" s="1"/>
  <c r="S32" i="3" s="1"/>
  <c r="AA129" i="3" l="1"/>
  <c r="AG32" i="3"/>
  <c r="AJ32" i="3"/>
  <c r="AM32" i="3"/>
  <c r="AD32" i="3"/>
  <c r="AL33" i="3"/>
  <c r="AF33" i="3"/>
  <c r="AI33" i="3"/>
  <c r="AC33" i="3"/>
  <c r="AK33" i="3"/>
  <c r="AH33" i="3"/>
  <c r="AN32" i="3"/>
  <c r="AE33" i="3"/>
  <c r="AB33" i="3"/>
  <c r="A34" i="3"/>
  <c r="C33" i="3"/>
  <c r="B33" i="3"/>
  <c r="H33" i="3" s="1"/>
  <c r="AA130" i="3" l="1"/>
  <c r="AM33" i="3"/>
  <c r="AG33" i="3"/>
  <c r="AJ33" i="3"/>
  <c r="AD33" i="3"/>
  <c r="AC34" i="3"/>
  <c r="AF34" i="3"/>
  <c r="AL34" i="3"/>
  <c r="AI34" i="3"/>
  <c r="AK34" i="3"/>
  <c r="AH34" i="3"/>
  <c r="AN33" i="3"/>
  <c r="AE34" i="3"/>
  <c r="AB34" i="3"/>
  <c r="S33" i="3"/>
  <c r="B34" i="3"/>
  <c r="H34" i="3" s="1"/>
  <c r="C34" i="3"/>
  <c r="A35" i="3"/>
  <c r="AA131" i="3" l="1"/>
  <c r="AA132" i="3" s="1"/>
  <c r="AG34" i="3"/>
  <c r="AM34" i="3"/>
  <c r="AJ34" i="3"/>
  <c r="AD34" i="3"/>
  <c r="AC35" i="3"/>
  <c r="AI35" i="3"/>
  <c r="AL35" i="3"/>
  <c r="AF35" i="3"/>
  <c r="AH35" i="3"/>
  <c r="AK35" i="3"/>
  <c r="AN34" i="3"/>
  <c r="AE35" i="3"/>
  <c r="AB35" i="3"/>
  <c r="S34" i="3"/>
  <c r="C35" i="3"/>
  <c r="B35" i="3"/>
  <c r="H35" i="3" s="1"/>
  <c r="A36" i="3"/>
  <c r="AA133" i="3" l="1"/>
  <c r="AJ35" i="3"/>
  <c r="AG35" i="3"/>
  <c r="AD35" i="3"/>
  <c r="AM35" i="3"/>
  <c r="AL36" i="3"/>
  <c r="AF36" i="3"/>
  <c r="AI36" i="3"/>
  <c r="AC36" i="3"/>
  <c r="AN35" i="3"/>
  <c r="AH36" i="3"/>
  <c r="AK36" i="3"/>
  <c r="AB36" i="3"/>
  <c r="AE36" i="3"/>
  <c r="S35" i="3"/>
  <c r="B36" i="3"/>
  <c r="H36" i="3" s="1"/>
  <c r="A37" i="3"/>
  <c r="C36" i="3"/>
  <c r="AA134" i="3" l="1"/>
  <c r="AM36" i="3"/>
  <c r="AG36" i="3"/>
  <c r="AJ36" i="3"/>
  <c r="AD36" i="3"/>
  <c r="AC37" i="3"/>
  <c r="AF37" i="3"/>
  <c r="AL37" i="3"/>
  <c r="AI37" i="3"/>
  <c r="AH37" i="3"/>
  <c r="AK37" i="3"/>
  <c r="AN36" i="3"/>
  <c r="AE37" i="3"/>
  <c r="AB37" i="3"/>
  <c r="S36" i="3"/>
  <c r="A38" i="3"/>
  <c r="C37" i="3"/>
  <c r="B37" i="3"/>
  <c r="H37" i="3" s="1"/>
  <c r="AA135" i="3" l="1"/>
  <c r="AJ37" i="3"/>
  <c r="AD37" i="3"/>
  <c r="AG37" i="3"/>
  <c r="AM37" i="3"/>
  <c r="AC38" i="3"/>
  <c r="AI38" i="3"/>
  <c r="AL38" i="3"/>
  <c r="AF38" i="3"/>
  <c r="AK38" i="3"/>
  <c r="AH38" i="3"/>
  <c r="AN37" i="3"/>
  <c r="AE38" i="3"/>
  <c r="AB38" i="3"/>
  <c r="S37" i="3"/>
  <c r="B38" i="3"/>
  <c r="H38" i="3" s="1"/>
  <c r="S38" i="3" s="1"/>
  <c r="C38" i="3"/>
  <c r="A39" i="3"/>
  <c r="AA136" i="3" l="1"/>
  <c r="AG38" i="3"/>
  <c r="AD38" i="3"/>
  <c r="AJ38" i="3"/>
  <c r="AM38" i="3"/>
  <c r="AL39" i="3"/>
  <c r="AF39" i="3"/>
  <c r="AI39" i="3"/>
  <c r="AC39" i="3"/>
  <c r="AH39" i="3"/>
  <c r="AK39" i="3"/>
  <c r="AN38" i="3"/>
  <c r="AE39" i="3"/>
  <c r="AB39" i="3"/>
  <c r="C39" i="3"/>
  <c r="B39" i="3"/>
  <c r="H39" i="3" s="1"/>
  <c r="S39" i="3" s="1"/>
  <c r="A40" i="3"/>
  <c r="AA137" i="3" l="1"/>
  <c r="AJ39" i="3"/>
  <c r="AM39" i="3"/>
  <c r="AG39" i="3"/>
  <c r="AD39" i="3"/>
  <c r="AC40" i="3"/>
  <c r="AF40" i="3"/>
  <c r="AL40" i="3"/>
  <c r="AI40" i="3"/>
  <c r="AN39" i="3"/>
  <c r="AH40" i="3"/>
  <c r="AK40" i="3"/>
  <c r="AE40" i="3"/>
  <c r="AB40" i="3"/>
  <c r="A41" i="3"/>
  <c r="C40" i="3"/>
  <c r="B40" i="3"/>
  <c r="H40" i="3" s="1"/>
  <c r="AA138" i="3" l="1"/>
  <c r="AD40" i="3"/>
  <c r="AJ40" i="3"/>
  <c r="AM40" i="3"/>
  <c r="AG40" i="3"/>
  <c r="AC41" i="3"/>
  <c r="AI41" i="3"/>
  <c r="AL41" i="3"/>
  <c r="AF41" i="3"/>
  <c r="AK41" i="3"/>
  <c r="AH41" i="3"/>
  <c r="AN40" i="3"/>
  <c r="AE41" i="3"/>
  <c r="AB41" i="3"/>
  <c r="S40" i="3"/>
  <c r="A42" i="3"/>
  <c r="C41" i="3"/>
  <c r="B41" i="3"/>
  <c r="H41" i="3" s="1"/>
  <c r="S41" i="3" s="1"/>
  <c r="AA139" i="3" l="1"/>
  <c r="AG41" i="3"/>
  <c r="AJ41" i="3"/>
  <c r="AD41" i="3"/>
  <c r="AM41" i="3"/>
  <c r="AL42" i="3"/>
  <c r="AF42" i="3"/>
  <c r="AI42" i="3"/>
  <c r="AC42" i="3"/>
  <c r="AH42" i="3"/>
  <c r="AK42" i="3"/>
  <c r="AN41" i="3"/>
  <c r="AE42" i="3"/>
  <c r="AB42" i="3"/>
  <c r="B42" i="3"/>
  <c r="H42" i="3" s="1"/>
  <c r="C42" i="3"/>
  <c r="A43" i="3"/>
  <c r="AA140" i="3" l="1"/>
  <c r="AM42" i="3"/>
  <c r="AJ42" i="3"/>
  <c r="AG42" i="3"/>
  <c r="AD42" i="3"/>
  <c r="AI43" i="3"/>
  <c r="AC43" i="3"/>
  <c r="AF43" i="3"/>
  <c r="AL43" i="3"/>
  <c r="AH43" i="3"/>
  <c r="AK43" i="3"/>
  <c r="AN42" i="3"/>
  <c r="AE43" i="3"/>
  <c r="AB43" i="3"/>
  <c r="S42" i="3"/>
  <c r="C43" i="3"/>
  <c r="B43" i="3"/>
  <c r="H43" i="3" s="1"/>
  <c r="S43" i="3" s="1"/>
  <c r="A44" i="3"/>
  <c r="AA141" i="3" l="1"/>
  <c r="AD43" i="3"/>
  <c r="AM43" i="3"/>
  <c r="AJ43" i="3"/>
  <c r="AG43" i="3"/>
  <c r="AC44" i="3"/>
  <c r="AL44" i="3"/>
  <c r="AF44" i="3"/>
  <c r="AI44" i="3"/>
  <c r="AK44" i="3"/>
  <c r="AH44" i="3"/>
  <c r="AN43" i="3"/>
  <c r="AE44" i="3"/>
  <c r="AB44" i="3"/>
  <c r="B44" i="3"/>
  <c r="H44" i="3" s="1"/>
  <c r="S44" i="3" s="1"/>
  <c r="A45" i="3"/>
  <c r="C44" i="3"/>
  <c r="AA142" i="3" l="1"/>
  <c r="AG44" i="3"/>
  <c r="AD44" i="3"/>
  <c r="AM44" i="3"/>
  <c r="AJ44" i="3"/>
  <c r="AL45" i="3"/>
  <c r="AI45" i="3"/>
  <c r="AF45" i="3"/>
  <c r="AC45" i="3"/>
  <c r="AK45" i="3"/>
  <c r="AH45" i="3"/>
  <c r="AN44" i="3"/>
  <c r="AE45" i="3"/>
  <c r="AB45" i="3"/>
  <c r="A46" i="3"/>
  <c r="C45" i="3"/>
  <c r="B45" i="3"/>
  <c r="H45" i="3" s="1"/>
  <c r="AA143" i="3" l="1"/>
  <c r="AM45" i="3"/>
  <c r="AG45" i="3"/>
  <c r="AJ45" i="3"/>
  <c r="AD45" i="3"/>
  <c r="AC46" i="3"/>
  <c r="AI46" i="3"/>
  <c r="AL46" i="3"/>
  <c r="AF46" i="3"/>
  <c r="AH46" i="3"/>
  <c r="AK46" i="3"/>
  <c r="AN45" i="3"/>
  <c r="AB46" i="3"/>
  <c r="AE46" i="3"/>
  <c r="S45" i="3"/>
  <c r="B46" i="3"/>
  <c r="H46" i="3" s="1"/>
  <c r="C46" i="3"/>
  <c r="A47" i="3"/>
  <c r="AA144" i="3" l="1"/>
  <c r="AJ46" i="3"/>
  <c r="AM46" i="3"/>
  <c r="AD46" i="3"/>
  <c r="AG46" i="3"/>
  <c r="AL47" i="3"/>
  <c r="AC47" i="3"/>
  <c r="AF47" i="3"/>
  <c r="AI47" i="3"/>
  <c r="AK47" i="3"/>
  <c r="AH47" i="3"/>
  <c r="AN46" i="3"/>
  <c r="AE47" i="3"/>
  <c r="AB47" i="3"/>
  <c r="S46" i="3"/>
  <c r="C47" i="3"/>
  <c r="B47" i="3"/>
  <c r="H47" i="3" s="1"/>
  <c r="A48" i="3"/>
  <c r="AA145" i="3" l="1"/>
  <c r="AD47" i="3"/>
  <c r="AM47" i="3"/>
  <c r="AJ47" i="3"/>
  <c r="AG47" i="3"/>
  <c r="AL48" i="3"/>
  <c r="AI48" i="3"/>
  <c r="AF48" i="3"/>
  <c r="AC48" i="3"/>
  <c r="AN47" i="3"/>
  <c r="AK48" i="3"/>
  <c r="AH48" i="3"/>
  <c r="AE48" i="3"/>
  <c r="AB48" i="3"/>
  <c r="S47" i="3"/>
  <c r="A49" i="3"/>
  <c r="C48" i="3"/>
  <c r="B48" i="3"/>
  <c r="H48" i="3" s="1"/>
  <c r="S48" i="3" s="1"/>
  <c r="AA146" i="3" l="1"/>
  <c r="AM48" i="3"/>
  <c r="AG48" i="3"/>
  <c r="AJ48" i="3"/>
  <c r="AD48" i="3"/>
  <c r="AC49" i="3"/>
  <c r="AI49" i="3"/>
  <c r="AL49" i="3"/>
  <c r="AF49" i="3"/>
  <c r="AH49" i="3"/>
  <c r="AK49" i="3"/>
  <c r="AN48" i="3"/>
  <c r="AE49" i="3"/>
  <c r="AB49" i="3"/>
  <c r="A50" i="3"/>
  <c r="C49" i="3"/>
  <c r="B49" i="3"/>
  <c r="H49" i="3" s="1"/>
  <c r="S49" i="3" s="1"/>
  <c r="AA147" i="3" l="1"/>
  <c r="AD49" i="3"/>
  <c r="AM49" i="3"/>
  <c r="AJ49" i="3"/>
  <c r="AG49" i="3"/>
  <c r="AL50" i="3"/>
  <c r="AC50" i="3"/>
  <c r="AF50" i="3"/>
  <c r="AI50" i="3"/>
  <c r="AH50" i="3"/>
  <c r="AK50" i="3"/>
  <c r="AN49" i="3"/>
  <c r="AE50" i="3"/>
  <c r="AB50" i="3"/>
  <c r="B50" i="3"/>
  <c r="H50" i="3" s="1"/>
  <c r="C50" i="3"/>
  <c r="A51" i="3"/>
  <c r="AJ50" i="3" l="1"/>
  <c r="AD50" i="3"/>
  <c r="AM50" i="3"/>
  <c r="AG50" i="3"/>
  <c r="AL51" i="3"/>
  <c r="AI51" i="3"/>
  <c r="AC51" i="3"/>
  <c r="AF51" i="3"/>
  <c r="AK51" i="3"/>
  <c r="AH51" i="3"/>
  <c r="AN50" i="3"/>
  <c r="AB51" i="3"/>
  <c r="AE51" i="3"/>
  <c r="S50" i="3"/>
  <c r="C51" i="3"/>
  <c r="B51" i="3"/>
  <c r="H51" i="3" s="1"/>
  <c r="A52" i="3"/>
  <c r="AM51" i="3" l="1"/>
  <c r="AJ51" i="3"/>
  <c r="AG51" i="3"/>
  <c r="AD51" i="3"/>
  <c r="AC52" i="3"/>
  <c r="AI52" i="3"/>
  <c r="AL52" i="3"/>
  <c r="AF52" i="3"/>
  <c r="AH52" i="3"/>
  <c r="AK52" i="3"/>
  <c r="AN51" i="3"/>
  <c r="AE52" i="3"/>
  <c r="AB52" i="3"/>
  <c r="S51" i="3"/>
  <c r="B52" i="3"/>
  <c r="H52" i="3" s="1"/>
  <c r="A53" i="3"/>
  <c r="C52" i="3"/>
  <c r="AD52" i="3" l="1"/>
  <c r="AJ52" i="3"/>
  <c r="AM52" i="3"/>
  <c r="AG52" i="3"/>
  <c r="AL53" i="3"/>
  <c r="AC53" i="3"/>
  <c r="AF53" i="3"/>
  <c r="AI53" i="3"/>
  <c r="AN52" i="3"/>
  <c r="AK53" i="3"/>
  <c r="AH53" i="3"/>
  <c r="AE53" i="3"/>
  <c r="AB53" i="3"/>
  <c r="S52" i="3"/>
  <c r="A54" i="3"/>
  <c r="C53" i="3"/>
  <c r="B53" i="3"/>
  <c r="H53" i="3" s="1"/>
  <c r="S53" i="3" s="1"/>
  <c r="AD53" i="3" l="1"/>
  <c r="AM53" i="3"/>
  <c r="AJ53" i="3"/>
  <c r="AG53" i="3"/>
  <c r="AL54" i="3"/>
  <c r="AI54" i="3"/>
  <c r="AC54" i="3"/>
  <c r="AF54" i="3"/>
  <c r="AN53" i="3"/>
  <c r="AH54" i="3"/>
  <c r="AK54" i="3"/>
  <c r="AE54" i="3"/>
  <c r="AB54" i="3"/>
  <c r="B54" i="3"/>
  <c r="H54" i="3" s="1"/>
  <c r="C54" i="3"/>
  <c r="A55" i="3"/>
  <c r="AG54" i="3" l="1"/>
  <c r="AM54" i="3"/>
  <c r="AJ54" i="3"/>
  <c r="AD54" i="3"/>
  <c r="AC55" i="3"/>
  <c r="AI55" i="3"/>
  <c r="AF55" i="3"/>
  <c r="AL55" i="3"/>
  <c r="AK55" i="3"/>
  <c r="AH55" i="3"/>
  <c r="AN54" i="3"/>
  <c r="AE55" i="3"/>
  <c r="AB55" i="3"/>
  <c r="S54" i="3"/>
  <c r="C55" i="3"/>
  <c r="B55" i="3"/>
  <c r="H55" i="3" s="1"/>
  <c r="S55" i="3" s="1"/>
  <c r="A56" i="3"/>
  <c r="AD55" i="3" l="1"/>
  <c r="AM55" i="3"/>
  <c r="AJ55" i="3"/>
  <c r="AG55" i="3"/>
  <c r="AL56" i="3"/>
  <c r="AC56" i="3"/>
  <c r="AI56" i="3"/>
  <c r="AF56" i="3"/>
  <c r="AK56" i="3"/>
  <c r="AH56" i="3"/>
  <c r="AN55" i="3"/>
  <c r="AE56" i="3"/>
  <c r="AB56" i="3"/>
  <c r="A57" i="3"/>
  <c r="C56" i="3"/>
  <c r="B56" i="3"/>
  <c r="H56" i="3" s="1"/>
  <c r="AJ56" i="3" l="1"/>
  <c r="AM56" i="3"/>
  <c r="AG56" i="3"/>
  <c r="AD56" i="3"/>
  <c r="AL57" i="3"/>
  <c r="AI57" i="3"/>
  <c r="AC57" i="3"/>
  <c r="AF57" i="3"/>
  <c r="AK57" i="3"/>
  <c r="AH57" i="3"/>
  <c r="AN56" i="3"/>
  <c r="AE57" i="3"/>
  <c r="AB57" i="3"/>
  <c r="S56" i="3"/>
  <c r="A58" i="3"/>
  <c r="C57" i="3"/>
  <c r="B57" i="3"/>
  <c r="H57" i="3" s="1"/>
  <c r="AG57" i="3" l="1"/>
  <c r="AM57" i="3"/>
  <c r="AJ57" i="3"/>
  <c r="AD57" i="3"/>
  <c r="AC58" i="3"/>
  <c r="AI58" i="3"/>
  <c r="AL58" i="3"/>
  <c r="AF58" i="3"/>
  <c r="AK58" i="3"/>
  <c r="AH58" i="3"/>
  <c r="AN57" i="3"/>
  <c r="AE58" i="3"/>
  <c r="AB58" i="3"/>
  <c r="S57" i="3"/>
  <c r="C58" i="3"/>
  <c r="B58" i="3"/>
  <c r="H58" i="3" s="1"/>
  <c r="A59" i="3"/>
  <c r="AG58" i="3" l="1"/>
  <c r="AD58" i="3"/>
  <c r="AM58" i="3"/>
  <c r="AJ58" i="3"/>
  <c r="AL59" i="3"/>
  <c r="AC59" i="3"/>
  <c r="AI59" i="3"/>
  <c r="AF59" i="3"/>
  <c r="AK59" i="3"/>
  <c r="AH59" i="3"/>
  <c r="AN58" i="3"/>
  <c r="AB59" i="3"/>
  <c r="AE59" i="3"/>
  <c r="S58" i="3"/>
  <c r="C59" i="3"/>
  <c r="B59" i="3"/>
  <c r="H59" i="3" s="1"/>
  <c r="S59" i="3" s="1"/>
  <c r="A60" i="3"/>
  <c r="AD59" i="3" l="1"/>
  <c r="AM59" i="3"/>
  <c r="AJ59" i="3"/>
  <c r="AG59" i="3"/>
  <c r="AL60" i="3"/>
  <c r="AI60" i="3"/>
  <c r="AC60" i="3"/>
  <c r="AF60" i="3"/>
  <c r="AH60" i="3"/>
  <c r="AK60" i="3"/>
  <c r="AN59" i="3"/>
  <c r="AE60" i="3"/>
  <c r="AB60" i="3"/>
  <c r="A61" i="3"/>
  <c r="B60" i="3"/>
  <c r="H60" i="3" s="1"/>
  <c r="C60" i="3"/>
  <c r="AD60" i="3" l="1"/>
  <c r="AJ60" i="3"/>
  <c r="AM60" i="3"/>
  <c r="AG60" i="3"/>
  <c r="AC61" i="3"/>
  <c r="AL61" i="3"/>
  <c r="AI61" i="3"/>
  <c r="AF61" i="3"/>
  <c r="AK61" i="3"/>
  <c r="AH61" i="3"/>
  <c r="AN60" i="3"/>
  <c r="AB61" i="3"/>
  <c r="AE61" i="3"/>
  <c r="S60" i="3"/>
  <c r="B61" i="3"/>
  <c r="H61" i="3" s="1"/>
  <c r="A62" i="3"/>
  <c r="C61" i="3"/>
  <c r="AM61" i="3" l="1"/>
  <c r="AG61" i="3"/>
  <c r="AJ61" i="3"/>
  <c r="AD61" i="3"/>
  <c r="AC62" i="3"/>
  <c r="AL62" i="3"/>
  <c r="AI62" i="3"/>
  <c r="AF62" i="3"/>
  <c r="AK62" i="3"/>
  <c r="AH62" i="3"/>
  <c r="AN61" i="3"/>
  <c r="AE62" i="3"/>
  <c r="AB62" i="3"/>
  <c r="S61" i="3"/>
  <c r="C62" i="3"/>
  <c r="B62" i="3"/>
  <c r="H62" i="3" s="1"/>
  <c r="A63" i="3"/>
  <c r="AM62" i="3" l="1"/>
  <c r="AD62" i="3"/>
  <c r="AJ62" i="3"/>
  <c r="AG62" i="3"/>
  <c r="AL63" i="3"/>
  <c r="AI63" i="3"/>
  <c r="AC63" i="3"/>
  <c r="AF63" i="3"/>
  <c r="AK63" i="3"/>
  <c r="AH63" i="3"/>
  <c r="AN62" i="3"/>
  <c r="AE63" i="3"/>
  <c r="AB63" i="3"/>
  <c r="S62" i="3"/>
  <c r="B63" i="3"/>
  <c r="H63" i="3" s="1"/>
  <c r="A64" i="3"/>
  <c r="C63" i="3"/>
  <c r="AM63" i="3" l="1"/>
  <c r="AJ63" i="3"/>
  <c r="AG63" i="3"/>
  <c r="AD63" i="3"/>
  <c r="AC64" i="3"/>
  <c r="AL64" i="3"/>
  <c r="AI64" i="3"/>
  <c r="AF64" i="3"/>
  <c r="AK64" i="3"/>
  <c r="AH64" i="3"/>
  <c r="AN63" i="3"/>
  <c r="AE64" i="3"/>
  <c r="AB64" i="3"/>
  <c r="S63" i="3"/>
  <c r="A65" i="3"/>
  <c r="C64" i="3"/>
  <c r="B64" i="3"/>
  <c r="H64" i="3" s="1"/>
  <c r="AD64" i="3" l="1"/>
  <c r="AJ64" i="3"/>
  <c r="AM64" i="3"/>
  <c r="AG64" i="3"/>
  <c r="AC65" i="3"/>
  <c r="AL65" i="3"/>
  <c r="AI65" i="3"/>
  <c r="AF65" i="3"/>
  <c r="AK65" i="3"/>
  <c r="AH65" i="3"/>
  <c r="AN64" i="3"/>
  <c r="AE65" i="3"/>
  <c r="AB65" i="3"/>
  <c r="S64" i="3"/>
  <c r="B65" i="3"/>
  <c r="H65" i="3" s="1"/>
  <c r="C65" i="3"/>
  <c r="A66" i="3"/>
  <c r="AM65" i="3" l="1"/>
  <c r="AG65" i="3"/>
  <c r="AD65" i="3"/>
  <c r="AJ65" i="3"/>
  <c r="AI66" i="3"/>
  <c r="AL66" i="3"/>
  <c r="AC66" i="3"/>
  <c r="AF66" i="3"/>
  <c r="AK66" i="3"/>
  <c r="AH66" i="3"/>
  <c r="AN65" i="3"/>
  <c r="AE66" i="3"/>
  <c r="AB66" i="3"/>
  <c r="S65" i="3"/>
  <c r="C66" i="3"/>
  <c r="B66" i="3"/>
  <c r="H66" i="3" s="1"/>
  <c r="S66" i="3" s="1"/>
  <c r="A67" i="3"/>
  <c r="AM66" i="3" l="1"/>
  <c r="AJ66" i="3"/>
  <c r="AG66" i="3"/>
  <c r="AD66" i="3"/>
  <c r="AC67" i="3"/>
  <c r="AL67" i="3"/>
  <c r="AI67" i="3"/>
  <c r="AF67" i="3"/>
  <c r="AK67" i="3"/>
  <c r="AH67" i="3"/>
  <c r="AN66" i="3"/>
  <c r="AE67" i="3"/>
  <c r="AB67" i="3"/>
  <c r="C67" i="3"/>
  <c r="B67" i="3"/>
  <c r="H67" i="3" s="1"/>
  <c r="A68" i="3"/>
  <c r="AG67" i="3" l="1"/>
  <c r="AD67" i="3"/>
  <c r="AM67" i="3"/>
  <c r="AJ67" i="3"/>
  <c r="AC68" i="3"/>
  <c r="AF68" i="3"/>
  <c r="AL68" i="3"/>
  <c r="AI68" i="3"/>
  <c r="AK68" i="3"/>
  <c r="AH68" i="3"/>
  <c r="AN67" i="3"/>
  <c r="AB68" i="3"/>
  <c r="AE68" i="3"/>
  <c r="S67" i="3"/>
  <c r="A69" i="3"/>
  <c r="C68" i="3"/>
  <c r="B68" i="3"/>
  <c r="H68" i="3" s="1"/>
  <c r="AD68" i="3" l="1"/>
  <c r="AM68" i="3"/>
  <c r="AG68" i="3"/>
  <c r="AJ68" i="3"/>
  <c r="AL69" i="3"/>
  <c r="AI69" i="3"/>
  <c r="AF69" i="3"/>
  <c r="AC69" i="3"/>
  <c r="AK69" i="3"/>
  <c r="AH69" i="3"/>
  <c r="AN68" i="3"/>
  <c r="AE69" i="3"/>
  <c r="AB69" i="3"/>
  <c r="S68" i="3"/>
  <c r="B69" i="3"/>
  <c r="H69" i="3" s="1"/>
  <c r="S69" i="3" s="1"/>
  <c r="A70" i="3"/>
  <c r="C69" i="3"/>
  <c r="AM69" i="3" l="1"/>
  <c r="AG69" i="3"/>
  <c r="AD69" i="3"/>
  <c r="AJ69" i="3"/>
  <c r="AC70" i="3"/>
  <c r="AL70" i="3"/>
  <c r="AI70" i="3"/>
  <c r="AF70" i="3"/>
  <c r="AK70" i="3"/>
  <c r="AH70" i="3"/>
  <c r="AN69" i="3"/>
  <c r="AB70" i="3"/>
  <c r="AE70" i="3"/>
  <c r="C70" i="3"/>
  <c r="B70" i="3"/>
  <c r="H70" i="3" s="1"/>
  <c r="A71" i="3"/>
  <c r="AJ70" i="3" l="1"/>
  <c r="AG70" i="3"/>
  <c r="AD70" i="3"/>
  <c r="AM70" i="3"/>
  <c r="AC71" i="3"/>
  <c r="AF71" i="3"/>
  <c r="AL71" i="3"/>
  <c r="AI71" i="3"/>
  <c r="AK71" i="3"/>
  <c r="AH71" i="3"/>
  <c r="AN70" i="3"/>
  <c r="AE71" i="3"/>
  <c r="AB71" i="3"/>
  <c r="S70" i="3"/>
  <c r="B71" i="3"/>
  <c r="H71" i="3" s="1"/>
  <c r="C71" i="3"/>
  <c r="A72" i="3"/>
  <c r="AD71" i="3" l="1"/>
  <c r="AM71" i="3"/>
  <c r="AJ71" i="3"/>
  <c r="AG71" i="3"/>
  <c r="AL72" i="3"/>
  <c r="AI72" i="3"/>
  <c r="AF72" i="3"/>
  <c r="AC72" i="3"/>
  <c r="AK72" i="3"/>
  <c r="AH72" i="3"/>
  <c r="AN71" i="3"/>
  <c r="AE72" i="3"/>
  <c r="AB72" i="3"/>
  <c r="S71" i="3"/>
  <c r="A73" i="3"/>
  <c r="C72" i="3"/>
  <c r="B72" i="3"/>
  <c r="H72" i="3" s="1"/>
  <c r="S72" i="3" s="1"/>
  <c r="AM72" i="3" l="1"/>
  <c r="AJ72" i="3"/>
  <c r="AG72" i="3"/>
  <c r="AD72" i="3"/>
  <c r="AC73" i="3"/>
  <c r="AL73" i="3"/>
  <c r="AI73" i="3"/>
  <c r="AF73" i="3"/>
  <c r="AH73" i="3"/>
  <c r="AK73" i="3"/>
  <c r="AN72" i="3"/>
  <c r="AE73" i="3"/>
  <c r="AB73" i="3"/>
  <c r="B73" i="3"/>
  <c r="H73" i="3" s="1"/>
  <c r="A74" i="3"/>
  <c r="C73" i="3"/>
  <c r="AG73" i="3" l="1"/>
  <c r="AD73" i="3"/>
  <c r="AM73" i="3"/>
  <c r="AJ73" i="3"/>
  <c r="AC74" i="3"/>
  <c r="AF74" i="3"/>
  <c r="AL74" i="3"/>
  <c r="AI74" i="3"/>
  <c r="AK74" i="3"/>
  <c r="AH74" i="3"/>
  <c r="AN73" i="3"/>
  <c r="AE74" i="3"/>
  <c r="AB74" i="3"/>
  <c r="S73" i="3"/>
  <c r="C74" i="3"/>
  <c r="B74" i="3"/>
  <c r="H74" i="3" s="1"/>
  <c r="A75" i="3"/>
  <c r="AG74" i="3" l="1"/>
  <c r="AD74" i="3"/>
  <c r="AJ74" i="3"/>
  <c r="AM74" i="3"/>
  <c r="AI75" i="3"/>
  <c r="AL75" i="3"/>
  <c r="AF75" i="3"/>
  <c r="AC75" i="3"/>
  <c r="AH75" i="3"/>
  <c r="AK75" i="3"/>
  <c r="AN74" i="3"/>
  <c r="AB75" i="3"/>
  <c r="AE75" i="3"/>
  <c r="S74" i="3"/>
  <c r="C75" i="3"/>
  <c r="B75" i="3"/>
  <c r="H75" i="3" s="1"/>
  <c r="A76" i="3"/>
  <c r="AJ75" i="3" l="1"/>
  <c r="AM75" i="3"/>
  <c r="AG75" i="3"/>
  <c r="AD75" i="3"/>
  <c r="AC76" i="3"/>
  <c r="AL76" i="3"/>
  <c r="AI76" i="3"/>
  <c r="AF76" i="3"/>
  <c r="AK76" i="3"/>
  <c r="AH76" i="3"/>
  <c r="AN75" i="3"/>
  <c r="AE76" i="3"/>
  <c r="AB76" i="3"/>
  <c r="S75" i="3"/>
  <c r="A77" i="3"/>
  <c r="C76" i="3"/>
  <c r="B76" i="3"/>
  <c r="H76" i="3" s="1"/>
  <c r="S76" i="3" s="1"/>
  <c r="AM76" i="3" l="1"/>
  <c r="AJ76" i="3"/>
  <c r="AD76" i="3"/>
  <c r="AG76" i="3"/>
  <c r="AC77" i="3"/>
  <c r="AF77" i="3"/>
  <c r="AL77" i="3"/>
  <c r="AI77" i="3"/>
  <c r="AH77" i="3"/>
  <c r="AK77" i="3"/>
  <c r="AN76" i="3"/>
  <c r="AB77" i="3"/>
  <c r="AE77" i="3"/>
  <c r="A78" i="3"/>
  <c r="B77" i="3"/>
  <c r="H77" i="3" s="1"/>
  <c r="S77" i="3" s="1"/>
  <c r="C77" i="3"/>
  <c r="AD77" i="3" l="1"/>
  <c r="AM77" i="3"/>
  <c r="AJ77" i="3"/>
  <c r="AG77" i="3"/>
  <c r="AL78" i="3"/>
  <c r="AI78" i="3"/>
  <c r="AC78" i="3"/>
  <c r="AF78" i="3"/>
  <c r="AK78" i="3"/>
  <c r="AH78" i="3"/>
  <c r="AN77" i="3"/>
  <c r="AE78" i="3"/>
  <c r="AB78" i="3"/>
  <c r="A79" i="3"/>
  <c r="B78" i="3"/>
  <c r="H78" i="3" s="1"/>
  <c r="C78" i="3"/>
  <c r="AJ78" i="3" l="1"/>
  <c r="AM78" i="3"/>
  <c r="AG78" i="3"/>
  <c r="AD78" i="3"/>
  <c r="AC79" i="3"/>
  <c r="AL79" i="3"/>
  <c r="AI79" i="3"/>
  <c r="AF79" i="3"/>
  <c r="AN78" i="3"/>
  <c r="AK79" i="3"/>
  <c r="AH79" i="3"/>
  <c r="AE79" i="3"/>
  <c r="AB79" i="3"/>
  <c r="S78" i="3"/>
  <c r="B79" i="3"/>
  <c r="H79" i="3" s="1"/>
  <c r="C79" i="3"/>
  <c r="A80" i="3"/>
  <c r="AD79" i="3" l="1"/>
  <c r="AM79" i="3"/>
  <c r="AJ79" i="3"/>
  <c r="AG79" i="3"/>
  <c r="AC80" i="3"/>
  <c r="AL80" i="3"/>
  <c r="AI80" i="3"/>
  <c r="AF80" i="3"/>
  <c r="AN79" i="3"/>
  <c r="AK80" i="3"/>
  <c r="AH80" i="3"/>
  <c r="AE80" i="3"/>
  <c r="AB80" i="3"/>
  <c r="S79" i="3"/>
  <c r="C80" i="3"/>
  <c r="B80" i="3"/>
  <c r="H80" i="3" s="1"/>
  <c r="A81" i="3"/>
  <c r="AJ80" i="3" l="1"/>
  <c r="AG80" i="3"/>
  <c r="AD80" i="3"/>
  <c r="AM80" i="3"/>
  <c r="AL81" i="3"/>
  <c r="AI81" i="3"/>
  <c r="AC81" i="3"/>
  <c r="AF81" i="3"/>
  <c r="AK81" i="3"/>
  <c r="AH81" i="3"/>
  <c r="AN80" i="3"/>
  <c r="AE81" i="3"/>
  <c r="AB81" i="3"/>
  <c r="S80" i="3"/>
  <c r="A82" i="3"/>
  <c r="B81" i="3"/>
  <c r="H81" i="3" s="1"/>
  <c r="C81" i="3"/>
  <c r="AM81" i="3" l="1"/>
  <c r="AJ81" i="3"/>
  <c r="AG81" i="3"/>
  <c r="AD81" i="3"/>
  <c r="AC82" i="3"/>
  <c r="AI82" i="3"/>
  <c r="AF82" i="3"/>
  <c r="AL82" i="3"/>
  <c r="AH82" i="3"/>
  <c r="AK82" i="3"/>
  <c r="AN81" i="3"/>
  <c r="AE82" i="3"/>
  <c r="AB82" i="3"/>
  <c r="S81" i="3"/>
  <c r="A83" i="3"/>
  <c r="B82" i="3"/>
  <c r="H82" i="3" s="1"/>
  <c r="S82" i="3" s="1"/>
  <c r="C82" i="3"/>
  <c r="AG82" i="3" l="1"/>
  <c r="AJ82" i="3"/>
  <c r="AD82" i="3"/>
  <c r="AM82" i="3"/>
  <c r="AC83" i="3"/>
  <c r="AL83" i="3"/>
  <c r="AI83" i="3"/>
  <c r="AF83" i="3"/>
  <c r="AK83" i="3"/>
  <c r="AH83" i="3"/>
  <c r="AN82" i="3"/>
  <c r="AB83" i="3"/>
  <c r="AE83" i="3"/>
  <c r="B83" i="3"/>
  <c r="H83" i="3" s="1"/>
  <c r="S83" i="3" s="1"/>
  <c r="C83" i="3"/>
  <c r="A84" i="3"/>
  <c r="AM83" i="3" l="1"/>
  <c r="AJ83" i="3"/>
  <c r="AG83" i="3"/>
  <c r="AD83" i="3"/>
  <c r="AL84" i="3"/>
  <c r="AI84" i="3"/>
  <c r="AC84" i="3"/>
  <c r="AF84" i="3"/>
  <c r="AH84" i="3"/>
  <c r="AK84" i="3"/>
  <c r="AN83" i="3"/>
  <c r="AB84" i="3"/>
  <c r="AE84" i="3"/>
  <c r="C84" i="3"/>
  <c r="B84" i="3"/>
  <c r="H84" i="3" s="1"/>
  <c r="A85" i="3"/>
  <c r="AJ84" i="3" l="1"/>
  <c r="AM84" i="3"/>
  <c r="AG84" i="3"/>
  <c r="AD84" i="3"/>
  <c r="AC85" i="3"/>
  <c r="AI85" i="3"/>
  <c r="AL85" i="3"/>
  <c r="AF85" i="3"/>
  <c r="AK85" i="3"/>
  <c r="AH85" i="3"/>
  <c r="AN84" i="3"/>
  <c r="AB85" i="3"/>
  <c r="AE85" i="3"/>
  <c r="S84" i="3"/>
  <c r="A86" i="3"/>
  <c r="C85" i="3"/>
  <c r="B85" i="3"/>
  <c r="H85" i="3" s="1"/>
  <c r="AJ85" i="3" l="1"/>
  <c r="AD85" i="3"/>
  <c r="AG85" i="3"/>
  <c r="AM85" i="3"/>
  <c r="AC86" i="3"/>
  <c r="AI86" i="3"/>
  <c r="AL86" i="3"/>
  <c r="AF86" i="3"/>
  <c r="AK86" i="3"/>
  <c r="AH86" i="3"/>
  <c r="AN85" i="3"/>
  <c r="AB86" i="3"/>
  <c r="AE86" i="3"/>
  <c r="S85" i="3"/>
  <c r="C86" i="3"/>
  <c r="B86" i="3"/>
  <c r="H86" i="3" s="1"/>
  <c r="A87" i="3"/>
  <c r="AD86" i="3" l="1"/>
  <c r="AJ86" i="3"/>
  <c r="AM86" i="3"/>
  <c r="AG86" i="3"/>
  <c r="AL87" i="3"/>
  <c r="AC87" i="3"/>
  <c r="AI87" i="3"/>
  <c r="AF87" i="3"/>
  <c r="AK87" i="3"/>
  <c r="AH87" i="3"/>
  <c r="AN86" i="3"/>
  <c r="AB87" i="3"/>
  <c r="A88" i="3"/>
  <c r="AE87" i="3"/>
  <c r="S86" i="3"/>
  <c r="C87" i="3"/>
  <c r="B87" i="3"/>
  <c r="H87" i="3" s="1"/>
  <c r="S87" i="3" s="1"/>
  <c r="AM87" i="3" l="1"/>
  <c r="AJ87" i="3"/>
  <c r="AG87" i="3"/>
  <c r="AD87" i="3"/>
  <c r="AC88" i="3"/>
  <c r="AI88" i="3"/>
  <c r="AL88" i="3"/>
  <c r="AF88" i="3"/>
  <c r="AK88" i="3"/>
  <c r="AH88" i="3"/>
  <c r="AN87" i="3"/>
  <c r="AB88" i="3"/>
  <c r="A89" i="3"/>
  <c r="AE88" i="3"/>
  <c r="B88" i="3"/>
  <c r="H88" i="3" s="1"/>
  <c r="C88" i="3"/>
  <c r="AJ88" i="3" l="1"/>
  <c r="AG88" i="3"/>
  <c r="AM88" i="3"/>
  <c r="AD88" i="3"/>
  <c r="AC89" i="3"/>
  <c r="AI89" i="3"/>
  <c r="AL89" i="3"/>
  <c r="AF89" i="3"/>
  <c r="AK89" i="3"/>
  <c r="AH89" i="3"/>
  <c r="AN88" i="3"/>
  <c r="A90" i="3"/>
  <c r="AB89" i="3"/>
  <c r="AE89" i="3"/>
  <c r="S88" i="3"/>
  <c r="C89" i="3"/>
  <c r="B89" i="3"/>
  <c r="H89" i="3" s="1"/>
  <c r="AM89" i="3" l="1"/>
  <c r="AJ89" i="3"/>
  <c r="AG89" i="3"/>
  <c r="AD89" i="3"/>
  <c r="AL90" i="3"/>
  <c r="AC90" i="3"/>
  <c r="AI90" i="3"/>
  <c r="AF90" i="3"/>
  <c r="AK90" i="3"/>
  <c r="AH90" i="3"/>
  <c r="AN89" i="3"/>
  <c r="AB90" i="3"/>
  <c r="A91" i="3"/>
  <c r="AE90" i="3"/>
  <c r="S89" i="3"/>
  <c r="C90" i="3"/>
  <c r="B90" i="3"/>
  <c r="H90" i="3" s="1"/>
  <c r="AM90" i="3" l="1"/>
  <c r="AD90" i="3"/>
  <c r="AJ90" i="3"/>
  <c r="AG90" i="3"/>
  <c r="AC91" i="3"/>
  <c r="AL91" i="3"/>
  <c r="AI91" i="3"/>
  <c r="AF91" i="3"/>
  <c r="AK91" i="3"/>
  <c r="AH91" i="3"/>
  <c r="AN90" i="3"/>
  <c r="AB91" i="3"/>
  <c r="A92" i="3"/>
  <c r="AE91" i="3"/>
  <c r="S90" i="3"/>
  <c r="C91" i="3"/>
  <c r="B91" i="3"/>
  <c r="H91" i="3" s="1"/>
  <c r="AM91" i="3" l="1"/>
  <c r="AJ91" i="3"/>
  <c r="AD91" i="3"/>
  <c r="AG91" i="3"/>
  <c r="AC92" i="3"/>
  <c r="AI92" i="3"/>
  <c r="AL92" i="3"/>
  <c r="AF92" i="3"/>
  <c r="AK92" i="3"/>
  <c r="AH92" i="3"/>
  <c r="AN91" i="3"/>
  <c r="AB92" i="3"/>
  <c r="A93" i="3"/>
  <c r="AE92" i="3"/>
  <c r="S91" i="3"/>
  <c r="B92" i="3"/>
  <c r="H92" i="3" s="1"/>
  <c r="C92" i="3"/>
  <c r="AG92" i="3" l="1"/>
  <c r="AD92" i="3"/>
  <c r="AJ92" i="3"/>
  <c r="AM92" i="3"/>
  <c r="AL93" i="3"/>
  <c r="AF93" i="3"/>
  <c r="AC93" i="3"/>
  <c r="AI93" i="3"/>
  <c r="AK93" i="3"/>
  <c r="AH93" i="3"/>
  <c r="AN92" i="3"/>
  <c r="AB93" i="3"/>
  <c r="A94" i="3"/>
  <c r="AE93" i="3"/>
  <c r="S92" i="3"/>
  <c r="C93" i="3"/>
  <c r="B93" i="3"/>
  <c r="H93" i="3" s="1"/>
  <c r="S93" i="3" s="1"/>
  <c r="AD93" i="3" l="1"/>
  <c r="AM93" i="3"/>
  <c r="AG93" i="3"/>
  <c r="AJ93" i="3"/>
  <c r="AC94" i="3"/>
  <c r="AL94" i="3"/>
  <c r="AI94" i="3"/>
  <c r="AF94" i="3"/>
  <c r="AK94" i="3"/>
  <c r="AH94" i="3"/>
  <c r="AN93" i="3"/>
  <c r="AB94" i="3"/>
  <c r="A95" i="3"/>
  <c r="AE94" i="3"/>
  <c r="C94" i="3"/>
  <c r="B94" i="3"/>
  <c r="H94" i="3" s="1"/>
  <c r="AM94" i="3" l="1"/>
  <c r="AD94" i="3"/>
  <c r="AJ94" i="3"/>
  <c r="AG94" i="3"/>
  <c r="AC95" i="3"/>
  <c r="AI95" i="3"/>
  <c r="AF95" i="3"/>
  <c r="AL95" i="3"/>
  <c r="AK95" i="3"/>
  <c r="AH95" i="3"/>
  <c r="AN94" i="3"/>
  <c r="AB95" i="3"/>
  <c r="A96" i="3"/>
  <c r="AE95" i="3"/>
  <c r="S94" i="3"/>
  <c r="B95" i="3"/>
  <c r="H95" i="3" s="1"/>
  <c r="C95" i="3"/>
  <c r="AD95" i="3" l="1"/>
  <c r="AJ95" i="3"/>
  <c r="AM95" i="3"/>
  <c r="AG95" i="3"/>
  <c r="AL96" i="3"/>
  <c r="AC96" i="3"/>
  <c r="AI96" i="3"/>
  <c r="AF96" i="3"/>
  <c r="AK96" i="3"/>
  <c r="AH96" i="3"/>
  <c r="AN95" i="3"/>
  <c r="AB96" i="3"/>
  <c r="A97" i="3"/>
  <c r="AE96" i="3"/>
  <c r="S95" i="3"/>
  <c r="B96" i="3"/>
  <c r="H96" i="3" s="1"/>
  <c r="S96" i="3" s="1"/>
  <c r="C96" i="3"/>
  <c r="AJ96" i="3" l="1"/>
  <c r="AM96" i="3"/>
  <c r="AG96" i="3"/>
  <c r="AD96" i="3"/>
  <c r="AC97" i="3"/>
  <c r="AI97" i="3"/>
  <c r="AF97" i="3"/>
  <c r="AL97" i="3"/>
  <c r="AH97" i="3"/>
  <c r="AK97" i="3"/>
  <c r="AN96" i="3"/>
  <c r="AB97" i="3"/>
  <c r="A98" i="3"/>
  <c r="AE97" i="3"/>
  <c r="B97" i="3"/>
  <c r="H97" i="3" s="1"/>
  <c r="C97" i="3"/>
  <c r="AM97" i="3" l="1"/>
  <c r="AG97" i="3"/>
  <c r="AD97" i="3"/>
  <c r="AJ97" i="3"/>
  <c r="AC98" i="3"/>
  <c r="AI98" i="3"/>
  <c r="AL98" i="3"/>
  <c r="AF98" i="3"/>
  <c r="AK98" i="3"/>
  <c r="AH98" i="3"/>
  <c r="AN97" i="3"/>
  <c r="AB98" i="3"/>
  <c r="A99" i="3"/>
  <c r="AE98" i="3"/>
  <c r="S97" i="3"/>
  <c r="C98" i="3"/>
  <c r="B98" i="3"/>
  <c r="H98" i="3" s="1"/>
  <c r="S98" i="3" s="1"/>
  <c r="AJ98" i="3" l="1"/>
  <c r="AG98" i="3"/>
  <c r="AD98" i="3"/>
  <c r="AM98" i="3"/>
  <c r="AI99" i="3"/>
  <c r="AC99" i="3"/>
  <c r="AL99" i="3"/>
  <c r="AF99" i="3"/>
  <c r="AH99" i="3"/>
  <c r="AK99" i="3"/>
  <c r="AN98" i="3"/>
  <c r="AB99" i="3"/>
  <c r="A100" i="3"/>
  <c r="AE99" i="3"/>
  <c r="B99" i="3"/>
  <c r="C99" i="3"/>
  <c r="AM99" i="3" l="1"/>
  <c r="AL3" i="3" s="1"/>
  <c r="AJ99" i="3"/>
  <c r="AI3" i="3" s="1"/>
  <c r="AG99" i="3"/>
  <c r="AF3" i="3" s="1"/>
  <c r="AD99" i="3"/>
  <c r="AC100" i="3"/>
  <c r="AL100" i="3"/>
  <c r="AF100" i="3"/>
  <c r="AI100" i="3"/>
  <c r="AK100" i="3"/>
  <c r="AH100" i="3"/>
  <c r="AN99" i="3"/>
  <c r="AB100" i="3"/>
  <c r="A101" i="3"/>
  <c r="AE100" i="3"/>
  <c r="H99" i="3"/>
  <c r="S99" i="3" s="1"/>
  <c r="C100" i="3"/>
  <c r="B100" i="3"/>
  <c r="H100" i="3" s="1"/>
  <c r="S100" i="3" s="1"/>
  <c r="B51" i="1" l="1"/>
  <c r="B42" i="1"/>
  <c r="AG100" i="3"/>
  <c r="AD100" i="3"/>
  <c r="AM100" i="3"/>
  <c r="AJ100" i="3"/>
  <c r="AC101" i="3"/>
  <c r="AI101" i="3"/>
  <c r="AL101" i="3"/>
  <c r="AF101" i="3"/>
  <c r="AH101" i="3"/>
  <c r="AK101" i="3"/>
  <c r="AN100" i="3"/>
  <c r="AE101" i="3"/>
  <c r="A102" i="3"/>
  <c r="AB101" i="3"/>
  <c r="B33" i="1"/>
  <c r="B101" i="3"/>
  <c r="H101" i="3" s="1"/>
  <c r="C101" i="3"/>
  <c r="AM101" i="3" l="1"/>
  <c r="AG101" i="3"/>
  <c r="AD101" i="3"/>
  <c r="AJ101" i="3"/>
  <c r="AL102" i="3"/>
  <c r="AI102" i="3"/>
  <c r="AF102" i="3"/>
  <c r="AC102" i="3"/>
  <c r="AK102" i="3"/>
  <c r="AH102" i="3"/>
  <c r="AN101" i="3"/>
  <c r="A103" i="3"/>
  <c r="AE102" i="3"/>
  <c r="AB102" i="3"/>
  <c r="S101" i="3"/>
  <c r="C102" i="3"/>
  <c r="B102" i="3"/>
  <c r="H102" i="3" s="1"/>
  <c r="AG102" i="3" l="1"/>
  <c r="AD102" i="3"/>
  <c r="AM102" i="3"/>
  <c r="AJ102" i="3"/>
  <c r="AC103" i="3"/>
  <c r="AL103" i="3"/>
  <c r="AI103" i="3"/>
  <c r="AF103" i="3"/>
  <c r="AN102" i="3"/>
  <c r="AH103" i="3"/>
  <c r="AK103" i="3"/>
  <c r="AE103" i="3"/>
  <c r="A104" i="3"/>
  <c r="AB103" i="3"/>
  <c r="S102" i="3"/>
  <c r="B103" i="3"/>
  <c r="H103" i="3" s="1"/>
  <c r="C103" i="3"/>
  <c r="AD103" i="3" l="1"/>
  <c r="AJ103" i="3"/>
  <c r="AM103" i="3"/>
  <c r="AG103" i="3"/>
  <c r="AC104" i="3"/>
  <c r="AL104" i="3"/>
  <c r="AI104" i="3"/>
  <c r="AF104" i="3"/>
  <c r="AK104" i="3"/>
  <c r="AH104" i="3"/>
  <c r="AN103" i="3"/>
  <c r="A105" i="3"/>
  <c r="AE104" i="3"/>
  <c r="AB104" i="3"/>
  <c r="S103" i="3"/>
  <c r="C104" i="3"/>
  <c r="B104" i="3"/>
  <c r="H104" i="3" s="1"/>
  <c r="AD104" i="3" l="1"/>
  <c r="AM104" i="3"/>
  <c r="AJ104" i="3"/>
  <c r="AG104" i="3"/>
  <c r="AI105" i="3"/>
  <c r="AC105" i="3"/>
  <c r="AL105" i="3"/>
  <c r="AF105" i="3"/>
  <c r="AH105" i="3"/>
  <c r="AK105" i="3"/>
  <c r="AN104" i="3"/>
  <c r="A106" i="3"/>
  <c r="AE105" i="3"/>
  <c r="AB105" i="3"/>
  <c r="S104" i="3"/>
  <c r="B105" i="3"/>
  <c r="H105" i="3" s="1"/>
  <c r="C105" i="3"/>
  <c r="AM105" i="3" l="1"/>
  <c r="AJ105" i="3"/>
  <c r="AG105" i="3"/>
  <c r="AD105" i="3"/>
  <c r="AC106" i="3"/>
  <c r="AF106" i="3"/>
  <c r="AL106" i="3"/>
  <c r="AI106" i="3"/>
  <c r="AK106" i="3"/>
  <c r="AH106" i="3"/>
  <c r="AN105" i="3"/>
  <c r="A107" i="3"/>
  <c r="AE106" i="3"/>
  <c r="AB106" i="3"/>
  <c r="S105" i="3"/>
  <c r="C106" i="3"/>
  <c r="B106" i="3"/>
  <c r="H106" i="3" s="1"/>
  <c r="AJ106" i="3" l="1"/>
  <c r="AD106" i="3"/>
  <c r="AG106" i="3"/>
  <c r="AM106" i="3"/>
  <c r="AC107" i="3"/>
  <c r="AL107" i="3"/>
  <c r="AI107" i="3"/>
  <c r="AF107" i="3"/>
  <c r="AK107" i="3"/>
  <c r="AH107" i="3"/>
  <c r="AN106" i="3"/>
  <c r="AE107" i="3"/>
  <c r="A108" i="3"/>
  <c r="AB107" i="3"/>
  <c r="S106" i="3"/>
  <c r="C107" i="3"/>
  <c r="B107" i="3"/>
  <c r="H107" i="3" s="1"/>
  <c r="AG107" i="3" l="1"/>
  <c r="AM107" i="3"/>
  <c r="AJ107" i="3"/>
  <c r="AD107" i="3"/>
  <c r="AI108" i="3"/>
  <c r="AF108" i="3"/>
  <c r="AC108" i="3"/>
  <c r="AL108" i="3"/>
  <c r="AN107" i="3"/>
  <c r="AK108" i="3"/>
  <c r="AH108" i="3"/>
  <c r="A109" i="3"/>
  <c r="AE108" i="3"/>
  <c r="AB108" i="3"/>
  <c r="S107" i="3"/>
  <c r="C108" i="3"/>
  <c r="B108" i="3"/>
  <c r="H108" i="3" s="1"/>
  <c r="AG108" i="3" l="1"/>
  <c r="AM108" i="3"/>
  <c r="AJ108" i="3"/>
  <c r="AD108" i="3"/>
  <c r="AC109" i="3"/>
  <c r="AL109" i="3"/>
  <c r="AI109" i="3"/>
  <c r="AF109" i="3"/>
  <c r="AN108" i="3"/>
  <c r="AH109" i="3"/>
  <c r="AK109" i="3"/>
  <c r="A110" i="3"/>
  <c r="AE109" i="3"/>
  <c r="AB109" i="3"/>
  <c r="S108" i="3"/>
  <c r="C109" i="3"/>
  <c r="B109" i="3"/>
  <c r="H109" i="3" s="1"/>
  <c r="AM109" i="3" l="1"/>
  <c r="AG109" i="3"/>
  <c r="AJ109" i="3"/>
  <c r="AD109" i="3"/>
  <c r="AC110" i="3"/>
  <c r="AI110" i="3"/>
  <c r="AF110" i="3"/>
  <c r="AL110" i="3"/>
  <c r="AN109" i="3"/>
  <c r="AK110" i="3"/>
  <c r="AH110" i="3"/>
  <c r="AE110" i="3"/>
  <c r="A111" i="3"/>
  <c r="AB110" i="3"/>
  <c r="S109" i="3"/>
  <c r="C110" i="3"/>
  <c r="B110" i="3"/>
  <c r="H110" i="3" s="1"/>
  <c r="AD110" i="3" l="1"/>
  <c r="AM110" i="3"/>
  <c r="AJ110" i="3"/>
  <c r="AG110" i="3"/>
  <c r="AC111" i="3"/>
  <c r="AI111" i="3"/>
  <c r="AL111" i="3"/>
  <c r="AF111" i="3"/>
  <c r="AN110" i="3"/>
  <c r="AH111" i="3"/>
  <c r="AK111" i="3"/>
  <c r="A112" i="3"/>
  <c r="AE111" i="3"/>
  <c r="AB111" i="3"/>
  <c r="S110" i="3"/>
  <c r="C111" i="3"/>
  <c r="B111" i="3"/>
  <c r="H111" i="3" s="1"/>
  <c r="AJ111" i="3" l="1"/>
  <c r="AD111" i="3"/>
  <c r="AM111" i="3"/>
  <c r="AG111" i="3"/>
  <c r="AC112" i="3"/>
  <c r="AL112" i="3"/>
  <c r="AI112" i="3"/>
  <c r="AF112" i="3"/>
  <c r="AK112" i="3"/>
  <c r="AH112" i="3"/>
  <c r="AN111" i="3"/>
  <c r="A113" i="3"/>
  <c r="AE112" i="3"/>
  <c r="AB112" i="3"/>
  <c r="S111" i="3"/>
  <c r="C112" i="3"/>
  <c r="B112" i="3"/>
  <c r="H112" i="3" s="1"/>
  <c r="AG112" i="3" l="1"/>
  <c r="AD112" i="3"/>
  <c r="AM112" i="3"/>
  <c r="AJ112" i="3"/>
  <c r="AC113" i="3"/>
  <c r="AL113" i="3"/>
  <c r="AI113" i="3"/>
  <c r="AF113" i="3"/>
  <c r="AH113" i="3"/>
  <c r="AK113" i="3"/>
  <c r="AN112" i="3"/>
  <c r="AE113" i="3"/>
  <c r="AB113" i="3"/>
  <c r="A114" i="3"/>
  <c r="S112" i="3"/>
  <c r="C113" i="3"/>
  <c r="B113" i="3"/>
  <c r="H113" i="3" s="1"/>
  <c r="AJ113" i="3" l="1"/>
  <c r="AG113" i="3"/>
  <c r="AM113" i="3"/>
  <c r="AD113" i="3"/>
  <c r="AC114" i="3"/>
  <c r="AI114" i="3"/>
  <c r="AL114" i="3"/>
  <c r="AF114" i="3"/>
  <c r="AH114" i="3"/>
  <c r="AK114" i="3"/>
  <c r="AN113" i="3"/>
  <c r="A115" i="3"/>
  <c r="AB114" i="3"/>
  <c r="AE114" i="3"/>
  <c r="S113" i="3"/>
  <c r="C114" i="3"/>
  <c r="B114" i="3"/>
  <c r="H114" i="3" s="1"/>
  <c r="AG114" i="3" l="1"/>
  <c r="AD114" i="3"/>
  <c r="AJ114" i="3"/>
  <c r="AM114" i="3"/>
  <c r="AL115" i="3"/>
  <c r="AF115" i="3"/>
  <c r="AC115" i="3"/>
  <c r="AI115" i="3"/>
  <c r="AK115" i="3"/>
  <c r="AH115" i="3"/>
  <c r="AN114" i="3"/>
  <c r="A116" i="3"/>
  <c r="AB115" i="3"/>
  <c r="AE115" i="3"/>
  <c r="S114" i="3"/>
  <c r="C115" i="3"/>
  <c r="B115" i="3"/>
  <c r="H115" i="3" s="1"/>
  <c r="AM115" i="3" l="1"/>
  <c r="AJ115" i="3"/>
  <c r="AG115" i="3"/>
  <c r="AD115" i="3"/>
  <c r="AC116" i="3"/>
  <c r="AL116" i="3"/>
  <c r="AI116" i="3"/>
  <c r="AF116" i="3"/>
  <c r="AH116" i="3"/>
  <c r="AK116" i="3"/>
  <c r="AN115" i="3"/>
  <c r="A117" i="3"/>
  <c r="AB116" i="3"/>
  <c r="AE116" i="3"/>
  <c r="S115" i="3"/>
  <c r="C116" i="3"/>
  <c r="B116" i="3"/>
  <c r="H116" i="3" s="1"/>
  <c r="AJ116" i="3" l="1"/>
  <c r="AM116" i="3"/>
  <c r="AG116" i="3"/>
  <c r="AD116" i="3"/>
  <c r="AI117" i="3"/>
  <c r="AC117" i="3"/>
  <c r="AL117" i="3"/>
  <c r="AF117" i="3"/>
  <c r="AK117" i="3"/>
  <c r="AH117" i="3"/>
  <c r="AN116" i="3"/>
  <c r="A118" i="3"/>
  <c r="AB117" i="3"/>
  <c r="AE117" i="3"/>
  <c r="S116" i="3"/>
  <c r="C117" i="3"/>
  <c r="B117" i="3"/>
  <c r="H117" i="3" s="1"/>
  <c r="S117" i="3" s="1"/>
  <c r="AJ117" i="3" l="1"/>
  <c r="AG117" i="3"/>
  <c r="AM117" i="3"/>
  <c r="AD117" i="3"/>
  <c r="AC118" i="3"/>
  <c r="AL118" i="3"/>
  <c r="AF118" i="3"/>
  <c r="AI118" i="3"/>
  <c r="AK118" i="3"/>
  <c r="AH118" i="3"/>
  <c r="AN117" i="3"/>
  <c r="A119" i="3"/>
  <c r="AB118" i="3"/>
  <c r="AE118" i="3"/>
  <c r="C118" i="3"/>
  <c r="B118" i="3"/>
  <c r="H118" i="3" s="1"/>
  <c r="AD118" i="3" l="1"/>
  <c r="AG118" i="3"/>
  <c r="AM118" i="3"/>
  <c r="AJ118" i="3"/>
  <c r="AC119" i="3"/>
  <c r="AI119" i="3"/>
  <c r="AL119" i="3"/>
  <c r="AF119" i="3"/>
  <c r="AK119" i="3"/>
  <c r="AH119" i="3"/>
  <c r="AN118" i="3"/>
  <c r="A120" i="3"/>
  <c r="AB119" i="3"/>
  <c r="AE119" i="3"/>
  <c r="S118" i="3"/>
  <c r="C119" i="3"/>
  <c r="B119" i="3"/>
  <c r="H119" i="3" s="1"/>
  <c r="AD119" i="3" l="1"/>
  <c r="AJ119" i="3"/>
  <c r="AM119" i="3"/>
  <c r="AG119" i="3"/>
  <c r="AC120" i="3"/>
  <c r="AL120" i="3"/>
  <c r="AI120" i="3"/>
  <c r="AF120" i="3"/>
  <c r="AK120" i="3"/>
  <c r="AH120" i="3"/>
  <c r="AN119" i="3"/>
  <c r="A121" i="3"/>
  <c r="AE120" i="3"/>
  <c r="AB120" i="3"/>
  <c r="S119" i="3"/>
  <c r="C120" i="3"/>
  <c r="B120" i="3"/>
  <c r="H120" i="3" s="1"/>
  <c r="AD120" i="3" l="1"/>
  <c r="AM120" i="3"/>
  <c r="AJ120" i="3"/>
  <c r="AG120" i="3"/>
  <c r="AC121" i="3"/>
  <c r="AL121" i="3"/>
  <c r="AI121" i="3"/>
  <c r="AF121" i="3"/>
  <c r="AH121" i="3"/>
  <c r="AK121" i="3"/>
  <c r="AN120" i="3"/>
  <c r="AB121" i="3"/>
  <c r="AE121" i="3"/>
  <c r="A122" i="3"/>
  <c r="S120" i="3"/>
  <c r="C121" i="3"/>
  <c r="B121" i="3"/>
  <c r="H121" i="3" s="1"/>
  <c r="AG121" i="3" l="1"/>
  <c r="AD121" i="3"/>
  <c r="AJ121" i="3"/>
  <c r="AM121" i="3"/>
  <c r="AC122" i="3"/>
  <c r="AI122" i="3"/>
  <c r="AF122" i="3"/>
  <c r="AL122" i="3"/>
  <c r="AK122" i="3"/>
  <c r="AH122" i="3"/>
  <c r="AN121" i="3"/>
  <c r="A123" i="3"/>
  <c r="AB122" i="3"/>
  <c r="AE122" i="3"/>
  <c r="S121" i="3"/>
  <c r="C122" i="3"/>
  <c r="B122" i="3"/>
  <c r="H122" i="3" s="1"/>
  <c r="AJ122" i="3" l="1"/>
  <c r="AD122" i="3"/>
  <c r="AM122" i="3"/>
  <c r="AG122" i="3"/>
  <c r="AC123" i="3"/>
  <c r="AL123" i="3"/>
  <c r="AI123" i="3"/>
  <c r="AF123" i="3"/>
  <c r="AH123" i="3"/>
  <c r="AK123" i="3"/>
  <c r="AN122" i="3"/>
  <c r="A124" i="3"/>
  <c r="AB123" i="3"/>
  <c r="AE123" i="3"/>
  <c r="S122" i="3"/>
  <c r="C123" i="3"/>
  <c r="B123" i="3"/>
  <c r="AJ123" i="3" l="1"/>
  <c r="AD123" i="3"/>
  <c r="AG123" i="3"/>
  <c r="AM123" i="3"/>
  <c r="AC124" i="3"/>
  <c r="AL124" i="3"/>
  <c r="AF124" i="3"/>
  <c r="AI124" i="3"/>
  <c r="AK124" i="3"/>
  <c r="AH124" i="3"/>
  <c r="AN123" i="3"/>
  <c r="C124" i="3"/>
  <c r="A125" i="3"/>
  <c r="AB124" i="3"/>
  <c r="AE124" i="3"/>
  <c r="H123" i="3"/>
  <c r="S123" i="3" s="1"/>
  <c r="B124" i="3"/>
  <c r="AG124" i="3" l="1"/>
  <c r="AJ124" i="3"/>
  <c r="AM124" i="3"/>
  <c r="AD124" i="3"/>
  <c r="AC125" i="3"/>
  <c r="AI125" i="3"/>
  <c r="AL125" i="3"/>
  <c r="AF125" i="3"/>
  <c r="AH125" i="3"/>
  <c r="AK125" i="3"/>
  <c r="AN124" i="3"/>
  <c r="AB125" i="3"/>
  <c r="A126" i="3"/>
  <c r="AE125" i="3"/>
  <c r="C125" i="3"/>
  <c r="B125" i="3"/>
  <c r="H124" i="3"/>
  <c r="S124" i="3" s="1"/>
  <c r="AJ125" i="3" l="1"/>
  <c r="AM125" i="3"/>
  <c r="AD125" i="3"/>
  <c r="AG125" i="3"/>
  <c r="AC126" i="3"/>
  <c r="AL126" i="3"/>
  <c r="AF126" i="3"/>
  <c r="AI126" i="3"/>
  <c r="AK126" i="3"/>
  <c r="AH126" i="3"/>
  <c r="AN125" i="3"/>
  <c r="AB126" i="3"/>
  <c r="A127" i="3"/>
  <c r="C126" i="3"/>
  <c r="AE126" i="3"/>
  <c r="B126" i="3"/>
  <c r="H125" i="3"/>
  <c r="S125" i="3" s="1"/>
  <c r="AD126" i="3" l="1"/>
  <c r="AM126" i="3"/>
  <c r="AJ126" i="3"/>
  <c r="AG126" i="3"/>
  <c r="AC127" i="3"/>
  <c r="AL127" i="3"/>
  <c r="AI127" i="3"/>
  <c r="AF127" i="3"/>
  <c r="AH127" i="3"/>
  <c r="AK127" i="3"/>
  <c r="AN126" i="3"/>
  <c r="C127" i="3"/>
  <c r="A128" i="3"/>
  <c r="AE127" i="3"/>
  <c r="AB127" i="3"/>
  <c r="B127" i="3"/>
  <c r="H126" i="3"/>
  <c r="S126" i="3" s="1"/>
  <c r="AM127" i="3" l="1"/>
  <c r="AJ127" i="3"/>
  <c r="AD127" i="3"/>
  <c r="AG127" i="3"/>
  <c r="AC128" i="3"/>
  <c r="AI128" i="3"/>
  <c r="AF128" i="3"/>
  <c r="AL128" i="3"/>
  <c r="AK128" i="3"/>
  <c r="AH128" i="3"/>
  <c r="AN127" i="3"/>
  <c r="AB128" i="3"/>
  <c r="C128" i="3"/>
  <c r="AE128" i="3"/>
  <c r="A129" i="3"/>
  <c r="B128" i="3"/>
  <c r="H127" i="3"/>
  <c r="S127" i="3" s="1"/>
  <c r="AD128" i="3" l="1"/>
  <c r="AM128" i="3"/>
  <c r="AG128" i="3"/>
  <c r="AJ128" i="3"/>
  <c r="AC129" i="3"/>
  <c r="AL129" i="3"/>
  <c r="AI129" i="3"/>
  <c r="AF129" i="3"/>
  <c r="AK129" i="3"/>
  <c r="AH129" i="3"/>
  <c r="AN128" i="3"/>
  <c r="AB129" i="3"/>
  <c r="A130" i="3"/>
  <c r="C129" i="3"/>
  <c r="AE129" i="3"/>
  <c r="B129" i="3"/>
  <c r="H128" i="3"/>
  <c r="S128" i="3" s="1"/>
  <c r="AM129" i="3" l="1"/>
  <c r="AD129" i="3"/>
  <c r="AJ129" i="3"/>
  <c r="AG129" i="3"/>
  <c r="AC130" i="3"/>
  <c r="AI130" i="3"/>
  <c r="AL130" i="3"/>
  <c r="AF130" i="3"/>
  <c r="AK130" i="3"/>
  <c r="AH130" i="3"/>
  <c r="AN129" i="3"/>
  <c r="A131" i="3"/>
  <c r="C130" i="3"/>
  <c r="AE130" i="3"/>
  <c r="AB130" i="3"/>
  <c r="B130" i="3"/>
  <c r="H129" i="3"/>
  <c r="S129" i="3" s="1"/>
  <c r="AD130" i="3" l="1"/>
  <c r="AG130" i="3"/>
  <c r="AM130" i="3"/>
  <c r="AJ130" i="3"/>
  <c r="AC131" i="3"/>
  <c r="AF131" i="3"/>
  <c r="AL131" i="3"/>
  <c r="AI131" i="3"/>
  <c r="AH131" i="3"/>
  <c r="AK131" i="3"/>
  <c r="AN130" i="3"/>
  <c r="AB131" i="3"/>
  <c r="AE131" i="3"/>
  <c r="C131" i="3"/>
  <c r="A132" i="3"/>
  <c r="B131" i="3"/>
  <c r="H130" i="3"/>
  <c r="S130" i="3" s="1"/>
  <c r="AJ131" i="3" l="1"/>
  <c r="AD131" i="3"/>
  <c r="AM131" i="3"/>
  <c r="AG131" i="3"/>
  <c r="AC132" i="3"/>
  <c r="AL132" i="3"/>
  <c r="AI132" i="3"/>
  <c r="AF132" i="3"/>
  <c r="AK132" i="3"/>
  <c r="AH132" i="3"/>
  <c r="AN131" i="3"/>
  <c r="C132" i="3"/>
  <c r="A133" i="3"/>
  <c r="AB132" i="3"/>
  <c r="AE132" i="3"/>
  <c r="B132" i="3"/>
  <c r="H131" i="3"/>
  <c r="S131" i="3" s="1"/>
  <c r="AJ132" i="3" l="1"/>
  <c r="AG132" i="3"/>
  <c r="AM132" i="3"/>
  <c r="AD132" i="3"/>
  <c r="AC133" i="3"/>
  <c r="AL133" i="3"/>
  <c r="AF133" i="3"/>
  <c r="AI133" i="3"/>
  <c r="AH133" i="3"/>
  <c r="AK133" i="3"/>
  <c r="AN132" i="3"/>
  <c r="A134" i="3"/>
  <c r="C133" i="3"/>
  <c r="AB133" i="3"/>
  <c r="AE133" i="3"/>
  <c r="B133" i="3"/>
  <c r="H132" i="3"/>
  <c r="S132" i="3" s="1"/>
  <c r="AM133" i="3" l="1"/>
  <c r="AJ133" i="3"/>
  <c r="AG133" i="3"/>
  <c r="AD133" i="3"/>
  <c r="AC134" i="3"/>
  <c r="AI134" i="3"/>
  <c r="AL134" i="3"/>
  <c r="AF134" i="3"/>
  <c r="AK134" i="3"/>
  <c r="AH134" i="3"/>
  <c r="AN133" i="3"/>
  <c r="A135" i="3"/>
  <c r="C134" i="3"/>
  <c r="AE134" i="3"/>
  <c r="AB134" i="3"/>
  <c r="B134" i="3"/>
  <c r="H133" i="3"/>
  <c r="S133" i="3" s="1"/>
  <c r="AM134" i="3" l="1"/>
  <c r="AJ134" i="3"/>
  <c r="AD134" i="3"/>
  <c r="AG134" i="3"/>
  <c r="AC135" i="3"/>
  <c r="AL135" i="3"/>
  <c r="AI135" i="3"/>
  <c r="AF135" i="3"/>
  <c r="AH135" i="3"/>
  <c r="AK135" i="3"/>
  <c r="AN134" i="3"/>
  <c r="C135" i="3"/>
  <c r="A136" i="3"/>
  <c r="AB135" i="3"/>
  <c r="AE135" i="3"/>
  <c r="B135" i="3"/>
  <c r="H134" i="3"/>
  <c r="S134" i="3" s="1"/>
  <c r="AJ135" i="3" l="1"/>
  <c r="AD135" i="3"/>
  <c r="AG135" i="3"/>
  <c r="AM135" i="3"/>
  <c r="AC136" i="3"/>
  <c r="AL136" i="3"/>
  <c r="AI136" i="3"/>
  <c r="AF136" i="3"/>
  <c r="AK136" i="3"/>
  <c r="AH136" i="3"/>
  <c r="AN135" i="3"/>
  <c r="A137" i="3"/>
  <c r="C136" i="3"/>
  <c r="AE136" i="3"/>
  <c r="AB136" i="3"/>
  <c r="B136" i="3"/>
  <c r="H135" i="3"/>
  <c r="S135" i="3" s="1"/>
  <c r="AD136" i="3" l="1"/>
  <c r="AJ136" i="3"/>
  <c r="AM136" i="3"/>
  <c r="AG136" i="3"/>
  <c r="AC137" i="3"/>
  <c r="AL137" i="3"/>
  <c r="AI137" i="3"/>
  <c r="AF137" i="3"/>
  <c r="AK137" i="3"/>
  <c r="AH137" i="3"/>
  <c r="AN136" i="3"/>
  <c r="A138" i="3"/>
  <c r="C137" i="3"/>
  <c r="AB137" i="3"/>
  <c r="AE137" i="3"/>
  <c r="B137" i="3"/>
  <c r="H136" i="3"/>
  <c r="S136" i="3" s="1"/>
  <c r="AM137" i="3" l="1"/>
  <c r="AD137" i="3"/>
  <c r="AJ137" i="3"/>
  <c r="AG137" i="3"/>
  <c r="AC138" i="3"/>
  <c r="AL138" i="3"/>
  <c r="AI138" i="3"/>
  <c r="AF138" i="3"/>
  <c r="AK138" i="3"/>
  <c r="AH138" i="3"/>
  <c r="AN137" i="3"/>
  <c r="A139" i="3"/>
  <c r="C138" i="3"/>
  <c r="AB138" i="3"/>
  <c r="AE138" i="3"/>
  <c r="B138" i="3"/>
  <c r="H137" i="3"/>
  <c r="S137" i="3" s="1"/>
  <c r="AG138" i="3" l="1"/>
  <c r="AD138" i="3"/>
  <c r="AM138" i="3"/>
  <c r="AJ138" i="3"/>
  <c r="AC139" i="3"/>
  <c r="AI139" i="3"/>
  <c r="AF139" i="3"/>
  <c r="AL139" i="3"/>
  <c r="AH139" i="3"/>
  <c r="AK139" i="3"/>
  <c r="AN138" i="3"/>
  <c r="A140" i="3"/>
  <c r="C139" i="3"/>
  <c r="AB139" i="3"/>
  <c r="AE139" i="3"/>
  <c r="B139" i="3"/>
  <c r="H138" i="3"/>
  <c r="S138" i="3" s="1"/>
  <c r="AJ139" i="3" l="1"/>
  <c r="AG139" i="3"/>
  <c r="AM139" i="3"/>
  <c r="AD139" i="3"/>
  <c r="AC140" i="3"/>
  <c r="AL140" i="3"/>
  <c r="AI140" i="3"/>
  <c r="AF140" i="3"/>
  <c r="AK140" i="3"/>
  <c r="AH140" i="3"/>
  <c r="AN139" i="3"/>
  <c r="A141" i="3"/>
  <c r="C140" i="3"/>
  <c r="AB140" i="3"/>
  <c r="AE140" i="3"/>
  <c r="B140" i="3"/>
  <c r="H139" i="3"/>
  <c r="S139" i="3" s="1"/>
  <c r="AG140" i="3" l="1"/>
  <c r="AD140" i="3"/>
  <c r="AM140" i="3"/>
  <c r="AJ140" i="3"/>
  <c r="AC141" i="3"/>
  <c r="AI141" i="3"/>
  <c r="AF141" i="3"/>
  <c r="AL141" i="3"/>
  <c r="AK141" i="3"/>
  <c r="AH141" i="3"/>
  <c r="AN140" i="3"/>
  <c r="C141" i="3"/>
  <c r="A142" i="3"/>
  <c r="AB141" i="3"/>
  <c r="AE141" i="3"/>
  <c r="B141" i="3"/>
  <c r="H140" i="3"/>
  <c r="S140" i="3" s="1"/>
  <c r="AD141" i="3" l="1"/>
  <c r="AM141" i="3"/>
  <c r="AG141" i="3"/>
  <c r="AJ141" i="3"/>
  <c r="AC142" i="3"/>
  <c r="AL142" i="3"/>
  <c r="AI142" i="3"/>
  <c r="AF142" i="3"/>
  <c r="AK142" i="3"/>
  <c r="AH142" i="3"/>
  <c r="AN141" i="3"/>
  <c r="C142" i="3"/>
  <c r="A143" i="3"/>
  <c r="AB142" i="3"/>
  <c r="AE142" i="3"/>
  <c r="B142" i="3"/>
  <c r="H141" i="3"/>
  <c r="S141" i="3" s="1"/>
  <c r="AM142" i="3" l="1"/>
  <c r="AD142" i="3"/>
  <c r="AJ142" i="3"/>
  <c r="AG142" i="3"/>
  <c r="AC143" i="3"/>
  <c r="AL143" i="3"/>
  <c r="AI143" i="3"/>
  <c r="AF143" i="3"/>
  <c r="AH143" i="3"/>
  <c r="AK143" i="3"/>
  <c r="AN142" i="3"/>
  <c r="A144" i="3"/>
  <c r="C143" i="3"/>
  <c r="AB143" i="3"/>
  <c r="AE143" i="3"/>
  <c r="B143" i="3"/>
  <c r="H142" i="3"/>
  <c r="S142" i="3" s="1"/>
  <c r="AJ143" i="3" l="1"/>
  <c r="AM143" i="3"/>
  <c r="AG143" i="3"/>
  <c r="AD143" i="3"/>
  <c r="AC144" i="3"/>
  <c r="AI144" i="3"/>
  <c r="AL144" i="3"/>
  <c r="AF144" i="3"/>
  <c r="AK144" i="3"/>
  <c r="AH144" i="3"/>
  <c r="AN143" i="3"/>
  <c r="A145" i="3"/>
  <c r="C144" i="3"/>
  <c r="AB144" i="3"/>
  <c r="AE144" i="3"/>
  <c r="B144" i="3"/>
  <c r="H143" i="3"/>
  <c r="S143" i="3" s="1"/>
  <c r="AJ144" i="3" l="1"/>
  <c r="AM144" i="3"/>
  <c r="AD144" i="3"/>
  <c r="AG144" i="3"/>
  <c r="AC145" i="3"/>
  <c r="AL145" i="3"/>
  <c r="AI145" i="3"/>
  <c r="AF145" i="3"/>
  <c r="AK145" i="3"/>
  <c r="AH145" i="3"/>
  <c r="AN144" i="3"/>
  <c r="A146" i="3"/>
  <c r="C145" i="3"/>
  <c r="AB145" i="3"/>
  <c r="AE145" i="3"/>
  <c r="B145" i="3"/>
  <c r="H144" i="3"/>
  <c r="S144" i="3" s="1"/>
  <c r="AM145" i="3" l="1"/>
  <c r="AD145" i="3"/>
  <c r="AJ145" i="3"/>
  <c r="AG145" i="3"/>
  <c r="AC146" i="3"/>
  <c r="AI146" i="3"/>
  <c r="AF146" i="3"/>
  <c r="AL146" i="3"/>
  <c r="AK146" i="3"/>
  <c r="AH146" i="3"/>
  <c r="AN145" i="3"/>
  <c r="C146" i="3"/>
  <c r="A147" i="3"/>
  <c r="AB146" i="3"/>
  <c r="AE146" i="3"/>
  <c r="B146" i="3"/>
  <c r="H145" i="3"/>
  <c r="S145" i="3" s="1"/>
  <c r="AG146" i="3" l="1"/>
  <c r="AD146" i="3"/>
  <c r="AJ146" i="3"/>
  <c r="AM146" i="3"/>
  <c r="AC147" i="3"/>
  <c r="AL147" i="3"/>
  <c r="AI147" i="3"/>
  <c r="AF147" i="3"/>
  <c r="AK147" i="3"/>
  <c r="AH147" i="3"/>
  <c r="AN146" i="3"/>
  <c r="C147" i="3"/>
  <c r="AB147" i="3"/>
  <c r="AE147" i="3"/>
  <c r="B147" i="3"/>
  <c r="H147" i="3" s="1"/>
  <c r="S147" i="3" s="1"/>
  <c r="H146" i="3"/>
  <c r="S146" i="3" s="1"/>
  <c r="AJ147" i="3" l="1"/>
  <c r="AM147" i="3"/>
  <c r="AD147" i="3"/>
  <c r="AG147" i="3"/>
  <c r="AN147" i="3"/>
  <c r="AC3" i="3" l="1"/>
  <c r="B24" i="1" l="1"/>
  <c r="K14" i="1" l="1"/>
  <c r="E55" i="1" l="1"/>
  <c r="B28" i="1"/>
  <c r="AE3" i="3"/>
  <c r="AN3" i="3" s="1"/>
  <c r="AW3" i="3" s="1"/>
  <c r="AX3" i="3" s="1"/>
  <c r="B53" i="1" l="1"/>
  <c r="K7" i="1"/>
  <c r="L6" i="4" l="1"/>
  <c r="B6" i="1"/>
  <c r="K2" i="5" l="1"/>
  <c r="P8" i="4" s="1" a="1"/>
  <c r="K3" i="1"/>
  <c r="E140" i="3"/>
  <c r="E141" i="3"/>
  <c r="E138" i="3"/>
  <c r="E135" i="3"/>
  <c r="E130" i="3"/>
  <c r="E134" i="3"/>
  <c r="E124" i="3"/>
  <c r="E137" i="3"/>
  <c r="E126" i="3"/>
  <c r="E127" i="3"/>
  <c r="E131" i="3"/>
  <c r="E132" i="3"/>
  <c r="E133" i="3"/>
  <c r="E139" i="3"/>
  <c r="E147" i="3"/>
  <c r="E146" i="3"/>
  <c r="E144" i="3"/>
  <c r="E143" i="3"/>
  <c r="E142" i="3"/>
  <c r="E145" i="3"/>
  <c r="E136" i="3"/>
  <c r="E125" i="3"/>
  <c r="E128" i="3"/>
  <c r="E129" i="3"/>
  <c r="K6" i="5" l="1"/>
  <c r="J20" i="1"/>
  <c r="K3" i="3"/>
  <c r="O3" i="3"/>
  <c r="K18" i="1"/>
  <c r="D3" i="3"/>
  <c r="T140" i="3"/>
  <c r="U140" i="3" s="1"/>
  <c r="Q140" i="3"/>
  <c r="T141" i="3"/>
  <c r="U141" i="3" s="1"/>
  <c r="Q141" i="3"/>
  <c r="T138" i="3"/>
  <c r="U138" i="3" s="1"/>
  <c r="Q138" i="3"/>
  <c r="Q135" i="3"/>
  <c r="T135" i="3"/>
  <c r="U135" i="3" s="1"/>
  <c r="Q130" i="3"/>
  <c r="T130" i="3"/>
  <c r="U130" i="3" s="1"/>
  <c r="T134" i="3"/>
  <c r="U134" i="3" s="1"/>
  <c r="Q134" i="3"/>
  <c r="T124" i="3"/>
  <c r="U124" i="3" s="1"/>
  <c r="Q124" i="3"/>
  <c r="T137" i="3"/>
  <c r="U137" i="3" s="1"/>
  <c r="Q137" i="3"/>
  <c r="Q126" i="3"/>
  <c r="T126" i="3"/>
  <c r="U126" i="3" s="1"/>
  <c r="Q127" i="3"/>
  <c r="T127" i="3"/>
  <c r="U127" i="3" s="1"/>
  <c r="Q131" i="3"/>
  <c r="T131" i="3"/>
  <c r="U131" i="3" s="1"/>
  <c r="Q132" i="3"/>
  <c r="T132" i="3"/>
  <c r="U132" i="3" s="1"/>
  <c r="T133" i="3"/>
  <c r="U133" i="3" s="1"/>
  <c r="Q133" i="3"/>
  <c r="Q139" i="3"/>
  <c r="T139" i="3"/>
  <c r="U139" i="3" s="1"/>
  <c r="T147" i="3"/>
  <c r="U147" i="3" s="1"/>
  <c r="Q147" i="3"/>
  <c r="T146" i="3"/>
  <c r="U146" i="3" s="1"/>
  <c r="Q146" i="3"/>
  <c r="T144" i="3"/>
  <c r="U144" i="3" s="1"/>
  <c r="Q144" i="3"/>
  <c r="T143" i="3"/>
  <c r="U143" i="3" s="1"/>
  <c r="Q143" i="3"/>
  <c r="Q142" i="3"/>
  <c r="T142" i="3"/>
  <c r="U142" i="3" s="1"/>
  <c r="T145" i="3"/>
  <c r="U145" i="3" s="1"/>
  <c r="Q145" i="3"/>
  <c r="T136" i="3"/>
  <c r="U136" i="3" s="1"/>
  <c r="Q136" i="3"/>
  <c r="T125" i="3"/>
  <c r="U125" i="3" s="1"/>
  <c r="Q125" i="3"/>
  <c r="Q128" i="3"/>
  <c r="T128" i="3"/>
  <c r="U128" i="3" s="1"/>
  <c r="Q129" i="3"/>
  <c r="T129" i="3"/>
  <c r="U129" i="3" s="1"/>
  <c r="K19" i="4" l="1"/>
  <c r="D14" i="4"/>
  <c r="E106" i="3"/>
  <c r="E116" i="3"/>
  <c r="E111" i="3"/>
  <c r="E100" i="3"/>
  <c r="E93" i="3"/>
  <c r="E120" i="3"/>
  <c r="E101" i="3"/>
  <c r="E112" i="3"/>
  <c r="E108" i="3"/>
  <c r="E117" i="3"/>
  <c r="E103" i="3"/>
  <c r="E107" i="3"/>
  <c r="E121" i="3"/>
  <c r="E118" i="3"/>
  <c r="E110" i="3"/>
  <c r="E113" i="3"/>
  <c r="E122" i="3"/>
  <c r="E123" i="3"/>
  <c r="E119" i="3"/>
  <c r="E114" i="3"/>
  <c r="E9" i="3"/>
  <c r="E70" i="3"/>
  <c r="E44" i="3"/>
  <c r="E88" i="3"/>
  <c r="E22" i="3"/>
  <c r="E37" i="3"/>
  <c r="E49" i="3"/>
  <c r="E67" i="3"/>
  <c r="E74" i="3"/>
  <c r="E10" i="3"/>
  <c r="E99" i="3"/>
  <c r="E61" i="3"/>
  <c r="E75" i="3"/>
  <c r="E50" i="3"/>
  <c r="E7" i="3"/>
  <c r="E109" i="3"/>
  <c r="E39" i="3"/>
  <c r="E42" i="3"/>
  <c r="E14" i="3"/>
  <c r="E52" i="3"/>
  <c r="E15" i="3"/>
  <c r="E69" i="3"/>
  <c r="E84" i="3"/>
  <c r="E58" i="3"/>
  <c r="E85" i="3"/>
  <c r="E65" i="3"/>
  <c r="E68" i="3"/>
  <c r="E8" i="3"/>
  <c r="E18" i="3"/>
  <c r="E51" i="3"/>
  <c r="E71" i="3"/>
  <c r="E77" i="3"/>
  <c r="E36" i="3"/>
  <c r="E57" i="3"/>
  <c r="E29" i="3"/>
  <c r="E20" i="3"/>
  <c r="E64" i="3"/>
  <c r="E94" i="3"/>
  <c r="E105" i="3"/>
  <c r="E115" i="3"/>
  <c r="E102" i="3"/>
  <c r="E104" i="3"/>
  <c r="E40" i="3"/>
  <c r="E30" i="3"/>
  <c r="E17" i="3"/>
  <c r="E43" i="3"/>
  <c r="E96" i="3"/>
  <c r="E16" i="3"/>
  <c r="E21" i="3"/>
  <c r="E55" i="3"/>
  <c r="E56" i="3"/>
  <c r="E81" i="3"/>
  <c r="E23" i="3"/>
  <c r="E46" i="3"/>
  <c r="E98" i="3"/>
  <c r="E53" i="3"/>
  <c r="E91" i="3"/>
  <c r="E28" i="3"/>
  <c r="E87" i="3"/>
  <c r="E6" i="3"/>
  <c r="E31" i="3"/>
  <c r="E59" i="3"/>
  <c r="E76" i="3"/>
  <c r="E63" i="3"/>
  <c r="E95" i="3"/>
  <c r="E13" i="3"/>
  <c r="E27" i="3"/>
  <c r="E34" i="3"/>
  <c r="E78" i="3"/>
  <c r="E60" i="3"/>
  <c r="E4" i="3"/>
  <c r="E66" i="3"/>
  <c r="E79" i="3"/>
  <c r="E48" i="3"/>
  <c r="E86" i="3"/>
  <c r="E38" i="3"/>
  <c r="E33" i="3"/>
  <c r="E5" i="3"/>
  <c r="E47" i="3"/>
  <c r="E26" i="3"/>
  <c r="E54" i="3"/>
  <c r="E41" i="3"/>
  <c r="E19" i="3"/>
  <c r="E89" i="3"/>
  <c r="E80" i="3"/>
  <c r="E35" i="3"/>
  <c r="E92" i="3"/>
  <c r="E11" i="3"/>
  <c r="E62" i="3"/>
  <c r="E83" i="3"/>
  <c r="E32" i="3"/>
  <c r="E72" i="3"/>
  <c r="E12" i="3"/>
  <c r="E25" i="3"/>
  <c r="E82" i="3"/>
  <c r="E73" i="3"/>
  <c r="E24" i="3"/>
  <c r="E90" i="3"/>
  <c r="E97" i="3"/>
  <c r="E45" i="3"/>
  <c r="O4" i="3"/>
  <c r="P4" i="3"/>
  <c r="D4" i="3"/>
  <c r="T111" i="3" l="1"/>
  <c r="U111" i="3" s="1"/>
  <c r="Q111" i="3"/>
  <c r="Q106" i="3"/>
  <c r="T106" i="3"/>
  <c r="U106" i="3" s="1"/>
  <c r="Q116" i="3"/>
  <c r="T116" i="3"/>
  <c r="U116" i="3" s="1"/>
  <c r="Q100" i="3"/>
  <c r="T100" i="3"/>
  <c r="U100" i="3" s="1"/>
  <c r="T93" i="3"/>
  <c r="U93" i="3" s="1"/>
  <c r="Q93" i="3"/>
  <c r="Q120" i="3"/>
  <c r="T120" i="3"/>
  <c r="U120" i="3" s="1"/>
  <c r="Q101" i="3"/>
  <c r="T101" i="3"/>
  <c r="U101" i="3" s="1"/>
  <c r="Q108" i="3"/>
  <c r="T108" i="3"/>
  <c r="U108" i="3" s="1"/>
  <c r="Q117" i="3"/>
  <c r="T117" i="3"/>
  <c r="U117" i="3" s="1"/>
  <c r="Q112" i="3"/>
  <c r="T112" i="3"/>
  <c r="U112" i="3" s="1"/>
  <c r="T109" i="3"/>
  <c r="U109" i="3" s="1"/>
  <c r="Q109" i="3"/>
  <c r="Q103" i="3"/>
  <c r="T103" i="3"/>
  <c r="U103" i="3" s="1"/>
  <c r="Q107" i="3"/>
  <c r="T107" i="3"/>
  <c r="U107" i="3" s="1"/>
  <c r="Q121" i="3"/>
  <c r="T121" i="3"/>
  <c r="U121" i="3" s="1"/>
  <c r="Q118" i="3"/>
  <c r="T118" i="3"/>
  <c r="U118" i="3" s="1"/>
  <c r="Q37" i="3"/>
  <c r="T37" i="3"/>
  <c r="U37" i="3" s="1"/>
  <c r="Q110" i="3"/>
  <c r="T110" i="3"/>
  <c r="U110" i="3" s="1"/>
  <c r="T113" i="3"/>
  <c r="U113" i="3" s="1"/>
  <c r="Q113" i="3"/>
  <c r="Q122" i="3"/>
  <c r="T122" i="3"/>
  <c r="U122" i="3" s="1"/>
  <c r="Q114" i="3"/>
  <c r="T114" i="3"/>
  <c r="U114" i="3" s="1"/>
  <c r="T9" i="3"/>
  <c r="U9" i="3" s="1"/>
  <c r="Q9" i="3"/>
  <c r="Q70" i="3"/>
  <c r="T70" i="3"/>
  <c r="U70" i="3" s="1"/>
  <c r="T44" i="3"/>
  <c r="U44" i="3" s="1"/>
  <c r="T88" i="3"/>
  <c r="U88" i="3" s="1"/>
  <c r="T22" i="3"/>
  <c r="U22" i="3" s="1"/>
  <c r="T49" i="3"/>
  <c r="U49" i="3" s="1"/>
  <c r="Q49" i="3"/>
  <c r="T67" i="3"/>
  <c r="U67" i="3" s="1"/>
  <c r="Q67" i="3"/>
  <c r="T123" i="3"/>
  <c r="U123" i="3" s="1"/>
  <c r="Q123" i="3"/>
  <c r="T119" i="3"/>
  <c r="U119" i="3" s="1"/>
  <c r="Q119" i="3"/>
  <c r="Q44" i="3"/>
  <c r="Q88" i="3"/>
  <c r="Q22" i="3"/>
  <c r="T39" i="3"/>
  <c r="U39" i="3" s="1"/>
  <c r="Q39" i="3"/>
  <c r="T42" i="3"/>
  <c r="U42" i="3" s="1"/>
  <c r="Q42" i="3"/>
  <c r="T14" i="3"/>
  <c r="U14" i="3" s="1"/>
  <c r="Q14" i="3"/>
  <c r="Q52" i="3"/>
  <c r="T52" i="3"/>
  <c r="U52" i="3" s="1"/>
  <c r="T15" i="3"/>
  <c r="U15" i="3" s="1"/>
  <c r="Q15" i="3"/>
  <c r="T74" i="3"/>
  <c r="U74" i="3" s="1"/>
  <c r="Q74" i="3"/>
  <c r="Q10" i="3"/>
  <c r="T10" i="3"/>
  <c r="U10" i="3" s="1"/>
  <c r="T69" i="3"/>
  <c r="U69" i="3" s="1"/>
  <c r="Q69" i="3"/>
  <c r="T99" i="3"/>
  <c r="U99" i="3" s="1"/>
  <c r="Q99" i="3"/>
  <c r="Q61" i="3"/>
  <c r="T61" i="3"/>
  <c r="U61" i="3" s="1"/>
  <c r="T75" i="3"/>
  <c r="U75" i="3" s="1"/>
  <c r="Q75" i="3"/>
  <c r="Q50" i="3"/>
  <c r="T50" i="3"/>
  <c r="U50" i="3" s="1"/>
  <c r="T7" i="3"/>
  <c r="U7" i="3" s="1"/>
  <c r="Q7" i="3"/>
  <c r="Q71" i="3"/>
  <c r="T64" i="3"/>
  <c r="U64" i="3" s="1"/>
  <c r="Q64" i="3"/>
  <c r="T77" i="3"/>
  <c r="U77" i="3" s="1"/>
  <c r="Q77" i="3"/>
  <c r="T36" i="3"/>
  <c r="U36" i="3" s="1"/>
  <c r="Q36" i="3"/>
  <c r="T57" i="3"/>
  <c r="U57" i="3" s="1"/>
  <c r="Q57" i="3"/>
  <c r="T94" i="3"/>
  <c r="U94" i="3" s="1"/>
  <c r="Q94" i="3"/>
  <c r="Q29" i="3"/>
  <c r="T29" i="3"/>
  <c r="U29" i="3" s="1"/>
  <c r="T105" i="3"/>
  <c r="U105" i="3" s="1"/>
  <c r="Q105" i="3"/>
  <c r="T115" i="3"/>
  <c r="U115" i="3" s="1"/>
  <c r="Q115" i="3"/>
  <c r="Q102" i="3"/>
  <c r="T102" i="3"/>
  <c r="U102" i="3" s="1"/>
  <c r="T84" i="3"/>
  <c r="U84" i="3" s="1"/>
  <c r="Q84" i="3"/>
  <c r="T104" i="3"/>
  <c r="U104" i="3" s="1"/>
  <c r="Q104" i="3"/>
  <c r="T53" i="3"/>
  <c r="U53" i="3" s="1"/>
  <c r="Q20" i="3"/>
  <c r="T20" i="3"/>
  <c r="U20" i="3" s="1"/>
  <c r="Q58" i="3"/>
  <c r="T58" i="3"/>
  <c r="U58" i="3" s="1"/>
  <c r="T85" i="3"/>
  <c r="U85" i="3" s="1"/>
  <c r="Q85" i="3"/>
  <c r="T65" i="3"/>
  <c r="U65" i="3" s="1"/>
  <c r="Q65" i="3"/>
  <c r="Q68" i="3"/>
  <c r="T68" i="3"/>
  <c r="U68" i="3" s="1"/>
  <c r="T8" i="3"/>
  <c r="U8" i="3" s="1"/>
  <c r="Q8" i="3"/>
  <c r="Q18" i="3"/>
  <c r="T18" i="3"/>
  <c r="U18" i="3" s="1"/>
  <c r="T51" i="3"/>
  <c r="U51" i="3" s="1"/>
  <c r="Q51" i="3"/>
  <c r="T71" i="3"/>
  <c r="U71" i="3" s="1"/>
  <c r="T23" i="3"/>
  <c r="U23" i="3" s="1"/>
  <c r="T28" i="3"/>
  <c r="U28" i="3" s="1"/>
  <c r="Q28" i="3"/>
  <c r="T87" i="3"/>
  <c r="U87" i="3" s="1"/>
  <c r="Q87" i="3"/>
  <c r="Q6" i="3"/>
  <c r="T6" i="3"/>
  <c r="U6" i="3" s="1"/>
  <c r="Q31" i="3"/>
  <c r="T31" i="3"/>
  <c r="U31" i="3" s="1"/>
  <c r="T46" i="3"/>
  <c r="U46" i="3" s="1"/>
  <c r="Q46" i="3"/>
  <c r="Q98" i="3"/>
  <c r="T98" i="3"/>
  <c r="U98" i="3" s="1"/>
  <c r="Q53" i="3"/>
  <c r="Q40" i="3"/>
  <c r="T40" i="3"/>
  <c r="U40" i="3" s="1"/>
  <c r="Q30" i="3"/>
  <c r="T30" i="3"/>
  <c r="U30" i="3" s="1"/>
  <c r="Q17" i="3"/>
  <c r="T91" i="3"/>
  <c r="U91" i="3" s="1"/>
  <c r="Q91" i="3"/>
  <c r="T56" i="3"/>
  <c r="U56" i="3" s="1"/>
  <c r="Q56" i="3"/>
  <c r="T81" i="3"/>
  <c r="U81" i="3" s="1"/>
  <c r="Q81" i="3"/>
  <c r="Q38" i="3"/>
  <c r="T38" i="3"/>
  <c r="U38" i="3" s="1"/>
  <c r="T33" i="3"/>
  <c r="U33" i="3" s="1"/>
  <c r="Q33" i="3"/>
  <c r="T5" i="3"/>
  <c r="U5" i="3" s="1"/>
  <c r="Q5" i="3"/>
  <c r="Q47" i="3"/>
  <c r="T47" i="3"/>
  <c r="U47" i="3" s="1"/>
  <c r="Q26" i="3"/>
  <c r="T26" i="3"/>
  <c r="U26" i="3" s="1"/>
  <c r="T54" i="3"/>
  <c r="U54" i="3" s="1"/>
  <c r="Q54" i="3"/>
  <c r="Q23" i="3"/>
  <c r="Q66" i="3"/>
  <c r="T59" i="3"/>
  <c r="U59" i="3" s="1"/>
  <c r="Q59" i="3"/>
  <c r="T76" i="3"/>
  <c r="U76" i="3" s="1"/>
  <c r="Q76" i="3"/>
  <c r="Q63" i="3"/>
  <c r="T63" i="3"/>
  <c r="U63" i="3" s="1"/>
  <c r="Q95" i="3"/>
  <c r="T95" i="3"/>
  <c r="U95" i="3" s="1"/>
  <c r="T13" i="3"/>
  <c r="U13" i="3" s="1"/>
  <c r="Q13" i="3"/>
  <c r="T27" i="3"/>
  <c r="U27" i="3" s="1"/>
  <c r="Q27" i="3"/>
  <c r="T34" i="3"/>
  <c r="U34" i="3" s="1"/>
  <c r="Q34" i="3"/>
  <c r="Q78" i="3"/>
  <c r="T78" i="3"/>
  <c r="U78" i="3" s="1"/>
  <c r="Q60" i="3"/>
  <c r="T60" i="3"/>
  <c r="U60" i="3" s="1"/>
  <c r="Q4" i="3"/>
  <c r="T4" i="3"/>
  <c r="Q25" i="3"/>
  <c r="T25" i="3"/>
  <c r="U25" i="3" s="1"/>
  <c r="T66" i="3"/>
  <c r="U66" i="3" s="1"/>
  <c r="Q82" i="3"/>
  <c r="T72" i="3"/>
  <c r="U72" i="3" s="1"/>
  <c r="T73" i="3"/>
  <c r="U73" i="3" s="1"/>
  <c r="T17" i="3"/>
  <c r="U17" i="3" s="1"/>
  <c r="Q43" i="3"/>
  <c r="T43" i="3"/>
  <c r="U43" i="3" s="1"/>
  <c r="Q96" i="3"/>
  <c r="T96" i="3"/>
  <c r="U96" i="3" s="1"/>
  <c r="T16" i="3"/>
  <c r="U16" i="3" s="1"/>
  <c r="Q16" i="3"/>
  <c r="Q21" i="3"/>
  <c r="T21" i="3"/>
  <c r="U21" i="3" s="1"/>
  <c r="T55" i="3"/>
  <c r="U55" i="3" s="1"/>
  <c r="Q55" i="3"/>
  <c r="T12" i="3"/>
  <c r="U12" i="3" s="1"/>
  <c r="Q12" i="3"/>
  <c r="T79" i="3"/>
  <c r="U79" i="3" s="1"/>
  <c r="Q79" i="3"/>
  <c r="T48" i="3"/>
  <c r="U48" i="3" s="1"/>
  <c r="Q48" i="3"/>
  <c r="T86" i="3"/>
  <c r="U86" i="3" s="1"/>
  <c r="Q86" i="3"/>
  <c r="T32" i="3"/>
  <c r="U32" i="3" s="1"/>
  <c r="Q32" i="3"/>
  <c r="Q72" i="3"/>
  <c r="Q73" i="3"/>
  <c r="Q45" i="3"/>
  <c r="T82" i="3"/>
  <c r="U82" i="3" s="1"/>
  <c r="T45" i="3"/>
  <c r="U45" i="3" s="1"/>
  <c r="Q41" i="3"/>
  <c r="T41" i="3"/>
  <c r="U41" i="3" s="1"/>
  <c r="T19" i="3"/>
  <c r="U19" i="3" s="1"/>
  <c r="Q19" i="3"/>
  <c r="T89" i="3"/>
  <c r="U89" i="3" s="1"/>
  <c r="Q89" i="3"/>
  <c r="Q80" i="3"/>
  <c r="T80" i="3"/>
  <c r="U80" i="3" s="1"/>
  <c r="T35" i="3"/>
  <c r="U35" i="3" s="1"/>
  <c r="Q35" i="3"/>
  <c r="Q24" i="3"/>
  <c r="T24" i="3"/>
  <c r="U24" i="3" s="1"/>
  <c r="T90" i="3"/>
  <c r="U90" i="3" s="1"/>
  <c r="Q90" i="3"/>
  <c r="Q97" i="3"/>
  <c r="Q92" i="3"/>
  <c r="T92" i="3"/>
  <c r="U92" i="3" s="1"/>
  <c r="Q11" i="3"/>
  <c r="T11" i="3"/>
  <c r="U11" i="3" s="1"/>
  <c r="Q62" i="3"/>
  <c r="T62" i="3"/>
  <c r="U62" i="3" s="1"/>
  <c r="T83" i="3"/>
  <c r="U83" i="3" s="1"/>
  <c r="T97" i="3"/>
  <c r="U97" i="3" s="1"/>
  <c r="Q83" i="3"/>
  <c r="O5" i="3"/>
  <c r="F4" i="3"/>
  <c r="G4" i="3" s="1"/>
  <c r="I4" i="3" s="1"/>
  <c r="P5" i="3"/>
  <c r="U4" i="3" l="1"/>
  <c r="T1" i="3"/>
  <c r="P6" i="3"/>
  <c r="D5" i="3"/>
  <c r="F5" i="3" s="1"/>
  <c r="G5" i="3" s="1"/>
  <c r="I5" i="3" s="1"/>
  <c r="E15" i="1" l="1"/>
  <c r="U1" i="3"/>
  <c r="V5" i="3"/>
  <c r="D6" i="3"/>
  <c r="F6" i="3" s="1"/>
  <c r="G6" i="3" s="1"/>
  <c r="I6" i="3" s="1"/>
  <c r="V6" i="3" l="1"/>
  <c r="J5" i="3"/>
  <c r="K5" i="3"/>
  <c r="L6" i="3"/>
  <c r="D7" i="3"/>
  <c r="F7" i="3" s="1"/>
  <c r="G7" i="3" s="1"/>
  <c r="I7" i="3" s="1"/>
  <c r="D8" i="3" l="1"/>
  <c r="F8" i="3" s="1"/>
  <c r="G8" i="3" s="1"/>
  <c r="I8" i="3" s="1"/>
  <c r="V7" i="3"/>
  <c r="K6" i="3"/>
  <c r="L7" i="3"/>
  <c r="O6" i="3"/>
  <c r="M6" i="3"/>
  <c r="J6" i="3"/>
  <c r="D9" i="3" l="1"/>
  <c r="F9" i="3" s="1"/>
  <c r="G9" i="3" s="1"/>
  <c r="I9" i="3" s="1"/>
  <c r="V8" i="3"/>
  <c r="L8" i="3"/>
  <c r="J7" i="3"/>
  <c r="M7" i="3"/>
  <c r="K7" i="3"/>
  <c r="P7" i="3"/>
  <c r="O7" i="3"/>
  <c r="P8" i="3" l="1"/>
  <c r="V9" i="3"/>
  <c r="D10" i="3"/>
  <c r="F10" i="3" s="1"/>
  <c r="J8" i="3"/>
  <c r="L9" i="3"/>
  <c r="K8" i="3"/>
  <c r="M8" i="3"/>
  <c r="O8" i="3"/>
  <c r="V10" i="3" l="1"/>
  <c r="M9" i="3"/>
  <c r="P9" i="3"/>
  <c r="O9" i="3"/>
  <c r="K9" i="3"/>
  <c r="J9" i="3"/>
  <c r="L10" i="3"/>
  <c r="M10" i="3" s="1"/>
  <c r="D11" i="3"/>
  <c r="F11" i="3" s="1"/>
  <c r="G10" i="3"/>
  <c r="I10" i="3" s="1"/>
  <c r="P10" i="3" l="1"/>
  <c r="L11" i="3"/>
  <c r="J10" i="3"/>
  <c r="K10" i="3"/>
  <c r="V11" i="3"/>
  <c r="D12" i="3"/>
  <c r="F12" i="3" s="1"/>
  <c r="G11" i="3"/>
  <c r="I11" i="3" s="1"/>
  <c r="O10" i="3"/>
  <c r="P11" i="3" s="1"/>
  <c r="M11" i="3" l="1"/>
  <c r="O11" i="3"/>
  <c r="L12" i="3"/>
  <c r="M12" i="3" s="1"/>
  <c r="J11" i="3"/>
  <c r="K11" i="3"/>
  <c r="D13" i="3"/>
  <c r="F13" i="3" s="1"/>
  <c r="V12" i="3"/>
  <c r="G12" i="3"/>
  <c r="I12" i="3" s="1"/>
  <c r="P12" i="3" l="1"/>
  <c r="O12" i="3"/>
  <c r="D14" i="3"/>
  <c r="F14" i="3" s="1"/>
  <c r="V13" i="3"/>
  <c r="G13" i="3"/>
  <c r="I13" i="3" s="1"/>
  <c r="L13" i="3"/>
  <c r="K12" i="3"/>
  <c r="J12" i="3"/>
  <c r="P13" i="3" l="1"/>
  <c r="V14" i="3"/>
  <c r="D15" i="3"/>
  <c r="F15" i="3" s="1"/>
  <c r="G14" i="3"/>
  <c r="I14" i="3" s="1"/>
  <c r="J13" i="3"/>
  <c r="K13" i="3"/>
  <c r="L14" i="3"/>
  <c r="M14" i="3" s="1"/>
  <c r="O13" i="3"/>
  <c r="M13" i="3"/>
  <c r="J14" i="3" l="1"/>
  <c r="L15" i="3"/>
  <c r="M15" i="3" s="1"/>
  <c r="K14" i="3"/>
  <c r="D16" i="3"/>
  <c r="F16" i="3" s="1"/>
  <c r="V15" i="3"/>
  <c r="G15" i="3"/>
  <c r="I15" i="3" s="1"/>
  <c r="O14" i="3"/>
  <c r="P14" i="3"/>
  <c r="V16" i="3" l="1"/>
  <c r="D17" i="3"/>
  <c r="F17" i="3" s="1"/>
  <c r="G16" i="3"/>
  <c r="I16" i="3" s="1"/>
  <c r="L16" i="3"/>
  <c r="M16" i="3" s="1"/>
  <c r="K15" i="3"/>
  <c r="J15" i="3"/>
  <c r="P15" i="3"/>
  <c r="O15" i="3"/>
  <c r="L17" i="3" l="1"/>
  <c r="M17" i="3" s="1"/>
  <c r="J16" i="3"/>
  <c r="K16" i="3"/>
  <c r="V17" i="3"/>
  <c r="D18" i="3"/>
  <c r="F18" i="3" s="1"/>
  <c r="G17" i="3"/>
  <c r="I17" i="3" s="1"/>
  <c r="O16" i="3"/>
  <c r="P16" i="3"/>
  <c r="K17" i="3" l="1"/>
  <c r="J17" i="3"/>
  <c r="L18" i="3"/>
  <c r="M18" i="3" s="1"/>
  <c r="V18" i="3"/>
  <c r="D19" i="3"/>
  <c r="F19" i="3" s="1"/>
  <c r="G18" i="3"/>
  <c r="I18" i="3" s="1"/>
  <c r="P17" i="3"/>
  <c r="O17" i="3"/>
  <c r="K18" i="3" l="1"/>
  <c r="L19" i="3"/>
  <c r="M19" i="3" s="1"/>
  <c r="J18" i="3"/>
  <c r="V19" i="3"/>
  <c r="D20" i="3"/>
  <c r="F20" i="3" s="1"/>
  <c r="G19" i="3"/>
  <c r="I19" i="3" s="1"/>
  <c r="O18" i="3"/>
  <c r="P18" i="3"/>
  <c r="J19" i="3" l="1"/>
  <c r="L20" i="3"/>
  <c r="M20" i="3" s="1"/>
  <c r="K19" i="3"/>
  <c r="V20" i="3"/>
  <c r="D21" i="3"/>
  <c r="F21" i="3" s="1"/>
  <c r="G20" i="3"/>
  <c r="I20" i="3" s="1"/>
  <c r="P19" i="3"/>
  <c r="O19" i="3"/>
  <c r="J20" i="3" l="1"/>
  <c r="L21" i="3"/>
  <c r="M21" i="3" s="1"/>
  <c r="K20" i="3"/>
  <c r="V21" i="3"/>
  <c r="D22" i="3"/>
  <c r="F22" i="3" s="1"/>
  <c r="G21" i="3"/>
  <c r="I21" i="3" s="1"/>
  <c r="O20" i="3"/>
  <c r="P20" i="3"/>
  <c r="K21" i="3" l="1"/>
  <c r="L22" i="3"/>
  <c r="M22" i="3" s="1"/>
  <c r="J21" i="3"/>
  <c r="V22" i="3"/>
  <c r="D23" i="3"/>
  <c r="F23" i="3" s="1"/>
  <c r="G22" i="3"/>
  <c r="I22" i="3" s="1"/>
  <c r="O21" i="3"/>
  <c r="P21" i="3"/>
  <c r="K22" i="3" l="1"/>
  <c r="J22" i="3"/>
  <c r="L23" i="3"/>
  <c r="M23" i="3" s="1"/>
  <c r="V23" i="3"/>
  <c r="D24" i="3"/>
  <c r="F24" i="3" s="1"/>
  <c r="G23" i="3"/>
  <c r="I23" i="3" s="1"/>
  <c r="O22" i="3"/>
  <c r="P22" i="3"/>
  <c r="K23" i="3" l="1"/>
  <c r="L24" i="3"/>
  <c r="M24" i="3" s="1"/>
  <c r="J23" i="3"/>
  <c r="V24" i="3"/>
  <c r="D25" i="3"/>
  <c r="F25" i="3" s="1"/>
  <c r="G24" i="3"/>
  <c r="I24" i="3" s="1"/>
  <c r="P23" i="3"/>
  <c r="O23" i="3"/>
  <c r="K24" i="3" l="1"/>
  <c r="J24" i="3"/>
  <c r="L25" i="3"/>
  <c r="M25" i="3" s="1"/>
  <c r="V25" i="3"/>
  <c r="D26" i="3"/>
  <c r="F26" i="3" s="1"/>
  <c r="G25" i="3"/>
  <c r="I25" i="3" s="1"/>
  <c r="P24" i="3"/>
  <c r="O24" i="3"/>
  <c r="J25" i="3" l="1"/>
  <c r="K25" i="3"/>
  <c r="L26" i="3"/>
  <c r="M26" i="3" s="1"/>
  <c r="V26" i="3"/>
  <c r="D27" i="3"/>
  <c r="F27" i="3" s="1"/>
  <c r="G26" i="3"/>
  <c r="I26" i="3" s="1"/>
  <c r="O25" i="3"/>
  <c r="P25" i="3"/>
  <c r="J26" i="3" l="1"/>
  <c r="L27" i="3"/>
  <c r="M27" i="3" s="1"/>
  <c r="K26" i="3"/>
  <c r="V27" i="3"/>
  <c r="D28" i="3"/>
  <c r="F28" i="3" s="1"/>
  <c r="G27" i="3"/>
  <c r="I27" i="3" s="1"/>
  <c r="P26" i="3"/>
  <c r="O26" i="3"/>
  <c r="J27" i="3" l="1"/>
  <c r="L28" i="3"/>
  <c r="M28" i="3" s="1"/>
  <c r="K27" i="3"/>
  <c r="V28" i="3"/>
  <c r="D29" i="3"/>
  <c r="F29" i="3" s="1"/>
  <c r="G28" i="3"/>
  <c r="I28" i="3" s="1"/>
  <c r="O27" i="3"/>
  <c r="P27" i="3"/>
  <c r="K28" i="3" l="1"/>
  <c r="L29" i="3"/>
  <c r="M29" i="3" s="1"/>
  <c r="J28" i="3"/>
  <c r="D30" i="3"/>
  <c r="F30" i="3" s="1"/>
  <c r="V29" i="3"/>
  <c r="G29" i="3"/>
  <c r="I29" i="3" s="1"/>
  <c r="P28" i="3"/>
  <c r="O28" i="3"/>
  <c r="D31" i="3" l="1"/>
  <c r="F31" i="3" s="1"/>
  <c r="V30" i="3"/>
  <c r="G30" i="3"/>
  <c r="I30" i="3" s="1"/>
  <c r="J29" i="3"/>
  <c r="L30" i="3"/>
  <c r="M30" i="3" s="1"/>
  <c r="K29" i="3"/>
  <c r="P29" i="3"/>
  <c r="O29" i="3"/>
  <c r="V31" i="3" l="1"/>
  <c r="D32" i="3"/>
  <c r="F32" i="3" s="1"/>
  <c r="G31" i="3"/>
  <c r="I31" i="3" s="1"/>
  <c r="K30" i="3"/>
  <c r="J30" i="3"/>
  <c r="L31" i="3"/>
  <c r="M31" i="3" s="1"/>
  <c r="P30" i="3"/>
  <c r="O30" i="3"/>
  <c r="K31" i="3" l="1"/>
  <c r="L32" i="3"/>
  <c r="M32" i="3" s="1"/>
  <c r="J31" i="3"/>
  <c r="D33" i="3"/>
  <c r="F33" i="3" s="1"/>
  <c r="V32" i="3"/>
  <c r="G32" i="3"/>
  <c r="I32" i="3" s="1"/>
  <c r="O31" i="3"/>
  <c r="P31" i="3"/>
  <c r="V33" i="3" l="1"/>
  <c r="D34" i="3"/>
  <c r="F34" i="3" s="1"/>
  <c r="G33" i="3"/>
  <c r="I33" i="3" s="1"/>
  <c r="J32" i="3"/>
  <c r="K32" i="3"/>
  <c r="L33" i="3"/>
  <c r="M33" i="3" s="1"/>
  <c r="P32" i="3"/>
  <c r="O32" i="3"/>
  <c r="J33" i="3" l="1"/>
  <c r="K33" i="3"/>
  <c r="L34" i="3"/>
  <c r="M34" i="3" s="1"/>
  <c r="V34" i="3"/>
  <c r="D35" i="3"/>
  <c r="F35" i="3" s="1"/>
  <c r="G34" i="3"/>
  <c r="I34" i="3" s="1"/>
  <c r="P33" i="3"/>
  <c r="O33" i="3"/>
  <c r="J34" i="3" l="1"/>
  <c r="L35" i="3"/>
  <c r="M35" i="3" s="1"/>
  <c r="K34" i="3"/>
  <c r="V35" i="3"/>
  <c r="D36" i="3"/>
  <c r="F36" i="3" s="1"/>
  <c r="G35" i="3"/>
  <c r="I35" i="3" s="1"/>
  <c r="P34" i="3"/>
  <c r="O34" i="3"/>
  <c r="L36" i="3" l="1"/>
  <c r="M36" i="3" s="1"/>
  <c r="K35" i="3"/>
  <c r="J35" i="3"/>
  <c r="V36" i="3"/>
  <c r="D37" i="3"/>
  <c r="F37" i="3" s="1"/>
  <c r="G36" i="3"/>
  <c r="I36" i="3" s="1"/>
  <c r="O35" i="3"/>
  <c r="P35" i="3"/>
  <c r="J36" i="3" l="1"/>
  <c r="K36" i="3"/>
  <c r="L37" i="3"/>
  <c r="M37" i="3" s="1"/>
  <c r="V37" i="3"/>
  <c r="D38" i="3"/>
  <c r="F38" i="3" s="1"/>
  <c r="G37" i="3"/>
  <c r="I37" i="3" s="1"/>
  <c r="O36" i="3"/>
  <c r="P36" i="3"/>
  <c r="K37" i="3" l="1"/>
  <c r="L38" i="3"/>
  <c r="M38" i="3" s="1"/>
  <c r="J37" i="3"/>
  <c r="V38" i="3"/>
  <c r="D39" i="3"/>
  <c r="F39" i="3" s="1"/>
  <c r="G38" i="3"/>
  <c r="I38" i="3" s="1"/>
  <c r="O37" i="3"/>
  <c r="P37" i="3"/>
  <c r="J38" i="3" l="1"/>
  <c r="K38" i="3"/>
  <c r="L39" i="3"/>
  <c r="M39" i="3" s="1"/>
  <c r="D40" i="3"/>
  <c r="F40" i="3" s="1"/>
  <c r="V39" i="3"/>
  <c r="G39" i="3"/>
  <c r="I39" i="3" s="1"/>
  <c r="O38" i="3"/>
  <c r="P38" i="3"/>
  <c r="D41" i="3" l="1"/>
  <c r="F41" i="3" s="1"/>
  <c r="V40" i="3"/>
  <c r="G40" i="3"/>
  <c r="I40" i="3" s="1"/>
  <c r="L40" i="3"/>
  <c r="M40" i="3" s="1"/>
  <c r="K39" i="3"/>
  <c r="J39" i="3"/>
  <c r="P39" i="3"/>
  <c r="O39" i="3"/>
  <c r="V41" i="3" l="1"/>
  <c r="D42" i="3"/>
  <c r="F42" i="3" s="1"/>
  <c r="G41" i="3"/>
  <c r="I41" i="3" s="1"/>
  <c r="J40" i="3"/>
  <c r="K40" i="3"/>
  <c r="L41" i="3"/>
  <c r="M41" i="3" s="1"/>
  <c r="O40" i="3"/>
  <c r="P40" i="3"/>
  <c r="J41" i="3" l="1"/>
  <c r="K41" i="3"/>
  <c r="L42" i="3"/>
  <c r="M42" i="3" s="1"/>
  <c r="D43" i="3"/>
  <c r="F43" i="3" s="1"/>
  <c r="V42" i="3"/>
  <c r="G42" i="3"/>
  <c r="I42" i="3" s="1"/>
  <c r="P41" i="3"/>
  <c r="O41" i="3"/>
  <c r="V43" i="3" l="1"/>
  <c r="D44" i="3"/>
  <c r="F44" i="3" s="1"/>
  <c r="G43" i="3"/>
  <c r="I43" i="3" s="1"/>
  <c r="L43" i="3"/>
  <c r="M43" i="3" s="1"/>
  <c r="K42" i="3"/>
  <c r="J42" i="3"/>
  <c r="P42" i="3"/>
  <c r="O42" i="3"/>
  <c r="J43" i="3" l="1"/>
  <c r="K43" i="3"/>
  <c r="L44" i="3"/>
  <c r="M44" i="3" s="1"/>
  <c r="D45" i="3"/>
  <c r="F45" i="3" s="1"/>
  <c r="V44" i="3"/>
  <c r="G44" i="3"/>
  <c r="I44" i="3" s="1"/>
  <c r="O43" i="3"/>
  <c r="P43" i="3"/>
  <c r="D46" i="3" l="1"/>
  <c r="F46" i="3" s="1"/>
  <c r="V45" i="3"/>
  <c r="G45" i="3"/>
  <c r="I45" i="3" s="1"/>
  <c r="K44" i="3"/>
  <c r="J44" i="3"/>
  <c r="L45" i="3"/>
  <c r="M45" i="3" s="1"/>
  <c r="O44" i="3"/>
  <c r="P44" i="3"/>
  <c r="V46" i="3" l="1"/>
  <c r="D47" i="3"/>
  <c r="F47" i="3" s="1"/>
  <c r="G46" i="3"/>
  <c r="I46" i="3" s="1"/>
  <c r="L46" i="3"/>
  <c r="M46" i="3" s="1"/>
  <c r="J45" i="3"/>
  <c r="K45" i="3"/>
  <c r="P45" i="3"/>
  <c r="O45" i="3"/>
  <c r="J46" i="3" l="1"/>
  <c r="K46" i="3"/>
  <c r="L47" i="3"/>
  <c r="M47" i="3" s="1"/>
  <c r="V47" i="3"/>
  <c r="D48" i="3"/>
  <c r="F48" i="3" s="1"/>
  <c r="G47" i="3"/>
  <c r="I47" i="3" s="1"/>
  <c r="O46" i="3"/>
  <c r="P46" i="3"/>
  <c r="J47" i="3" l="1"/>
  <c r="L48" i="3"/>
  <c r="M48" i="3" s="1"/>
  <c r="K47" i="3"/>
  <c r="V48" i="3"/>
  <c r="D49" i="3"/>
  <c r="F49" i="3" s="1"/>
  <c r="G48" i="3"/>
  <c r="I48" i="3" s="1"/>
  <c r="O47" i="3"/>
  <c r="P47" i="3"/>
  <c r="L49" i="3" l="1"/>
  <c r="M49" i="3" s="1"/>
  <c r="J48" i="3"/>
  <c r="K48" i="3"/>
  <c r="V49" i="3"/>
  <c r="D50" i="3"/>
  <c r="F50" i="3" s="1"/>
  <c r="G49" i="3"/>
  <c r="I49" i="3" s="1"/>
  <c r="P48" i="3"/>
  <c r="O48" i="3"/>
  <c r="J49" i="3" l="1"/>
  <c r="K49" i="3"/>
  <c r="L50" i="3"/>
  <c r="M50" i="3" s="1"/>
  <c r="V50" i="3"/>
  <c r="D51" i="3"/>
  <c r="F51" i="3" s="1"/>
  <c r="G50" i="3"/>
  <c r="I50" i="3" s="1"/>
  <c r="P49" i="3"/>
  <c r="O49" i="3"/>
  <c r="J50" i="3" l="1"/>
  <c r="L51" i="3"/>
  <c r="M51" i="3" s="1"/>
  <c r="K50" i="3"/>
  <c r="V51" i="3"/>
  <c r="D52" i="3"/>
  <c r="F52" i="3" s="1"/>
  <c r="G51" i="3"/>
  <c r="I51" i="3" s="1"/>
  <c r="O50" i="3"/>
  <c r="P50" i="3"/>
  <c r="J51" i="3" l="1"/>
  <c r="K51" i="3"/>
  <c r="L52" i="3"/>
  <c r="M52" i="3" s="1"/>
  <c r="V52" i="3"/>
  <c r="D53" i="3"/>
  <c r="F53" i="3" s="1"/>
  <c r="G52" i="3"/>
  <c r="I52" i="3" s="1"/>
  <c r="P51" i="3"/>
  <c r="O51" i="3"/>
  <c r="J52" i="3" l="1"/>
  <c r="K52" i="3"/>
  <c r="L53" i="3"/>
  <c r="M53" i="3" s="1"/>
  <c r="D54" i="3"/>
  <c r="F54" i="3" s="1"/>
  <c r="V53" i="3"/>
  <c r="G53" i="3"/>
  <c r="I53" i="3" s="1"/>
  <c r="P52" i="3"/>
  <c r="O52" i="3"/>
  <c r="V54" i="3" l="1"/>
  <c r="D55" i="3"/>
  <c r="F55" i="3" s="1"/>
  <c r="G54" i="3"/>
  <c r="I54" i="3" s="1"/>
  <c r="K53" i="3"/>
  <c r="L54" i="3"/>
  <c r="M54" i="3" s="1"/>
  <c r="J53" i="3"/>
  <c r="P53" i="3"/>
  <c r="O53" i="3"/>
  <c r="K54" i="3" l="1"/>
  <c r="J54" i="3"/>
  <c r="L55" i="3"/>
  <c r="M55" i="3" s="1"/>
  <c r="V55" i="3"/>
  <c r="D56" i="3"/>
  <c r="F56" i="3" s="1"/>
  <c r="G55" i="3"/>
  <c r="I55" i="3" s="1"/>
  <c r="P54" i="3"/>
  <c r="O54" i="3"/>
  <c r="K55" i="3" l="1"/>
  <c r="L56" i="3"/>
  <c r="M56" i="3" s="1"/>
  <c r="J55" i="3"/>
  <c r="V56" i="3"/>
  <c r="D57" i="3"/>
  <c r="F57" i="3" s="1"/>
  <c r="G56" i="3"/>
  <c r="I56" i="3" s="1"/>
  <c r="P55" i="3"/>
  <c r="O55" i="3"/>
  <c r="K56" i="3" l="1"/>
  <c r="J56" i="3"/>
  <c r="L57" i="3"/>
  <c r="M57" i="3" s="1"/>
  <c r="D58" i="3"/>
  <c r="F58" i="3" s="1"/>
  <c r="V57" i="3"/>
  <c r="G57" i="3"/>
  <c r="I57" i="3" s="1"/>
  <c r="O56" i="3"/>
  <c r="P56" i="3"/>
  <c r="V58" i="3" l="1"/>
  <c r="D59" i="3"/>
  <c r="F59" i="3" s="1"/>
  <c r="G58" i="3"/>
  <c r="I58" i="3" s="1"/>
  <c r="L58" i="3"/>
  <c r="M58" i="3" s="1"/>
  <c r="K57" i="3"/>
  <c r="J57" i="3"/>
  <c r="O57" i="3"/>
  <c r="P57" i="3"/>
  <c r="J58" i="3" l="1"/>
  <c r="L59" i="3"/>
  <c r="M59" i="3" s="1"/>
  <c r="K58" i="3"/>
  <c r="V59" i="3"/>
  <c r="D60" i="3"/>
  <c r="F60" i="3" s="1"/>
  <c r="G59" i="3"/>
  <c r="I59" i="3" s="1"/>
  <c r="O58" i="3"/>
  <c r="P58" i="3"/>
  <c r="K59" i="3" l="1"/>
  <c r="J59" i="3"/>
  <c r="L60" i="3"/>
  <c r="M60" i="3" s="1"/>
  <c r="D61" i="3"/>
  <c r="F61" i="3" s="1"/>
  <c r="V60" i="3"/>
  <c r="G60" i="3"/>
  <c r="I60" i="3" s="1"/>
  <c r="P59" i="3"/>
  <c r="O59" i="3"/>
  <c r="V61" i="3" l="1"/>
  <c r="D62" i="3"/>
  <c r="F62" i="3" s="1"/>
  <c r="G61" i="3"/>
  <c r="I61" i="3" s="1"/>
  <c r="J60" i="3"/>
  <c r="L61" i="3"/>
  <c r="M61" i="3" s="1"/>
  <c r="K60" i="3"/>
  <c r="O60" i="3"/>
  <c r="P60" i="3"/>
  <c r="L62" i="3" l="1"/>
  <c r="M62" i="3" s="1"/>
  <c r="J61" i="3"/>
  <c r="K61" i="3"/>
  <c r="D63" i="3"/>
  <c r="F63" i="3" s="1"/>
  <c r="V62" i="3"/>
  <c r="G62" i="3"/>
  <c r="I62" i="3" s="1"/>
  <c r="O61" i="3"/>
  <c r="P61" i="3"/>
  <c r="V63" i="3" l="1"/>
  <c r="D64" i="3"/>
  <c r="F64" i="3" s="1"/>
  <c r="G63" i="3"/>
  <c r="I63" i="3" s="1"/>
  <c r="K62" i="3"/>
  <c r="J62" i="3"/>
  <c r="L63" i="3"/>
  <c r="M63" i="3" s="1"/>
  <c r="P62" i="3"/>
  <c r="O62" i="3"/>
  <c r="J63" i="3" l="1"/>
  <c r="K63" i="3"/>
  <c r="L64" i="3"/>
  <c r="M64" i="3" s="1"/>
  <c r="D65" i="3"/>
  <c r="F65" i="3" s="1"/>
  <c r="V64" i="3"/>
  <c r="G64" i="3"/>
  <c r="I64" i="3" s="1"/>
  <c r="O63" i="3"/>
  <c r="P63" i="3"/>
  <c r="D66" i="3" l="1"/>
  <c r="F66" i="3" s="1"/>
  <c r="V65" i="3"/>
  <c r="G65" i="3"/>
  <c r="I65" i="3" s="1"/>
  <c r="K64" i="3"/>
  <c r="L65" i="3"/>
  <c r="M65" i="3" s="1"/>
  <c r="J64" i="3"/>
  <c r="P64" i="3"/>
  <c r="O64" i="3"/>
  <c r="V66" i="3" l="1"/>
  <c r="D67" i="3"/>
  <c r="F67" i="3" s="1"/>
  <c r="G66" i="3"/>
  <c r="I66" i="3" s="1"/>
  <c r="L66" i="3"/>
  <c r="M66" i="3" s="1"/>
  <c r="K65" i="3"/>
  <c r="J65" i="3"/>
  <c r="P65" i="3"/>
  <c r="O65" i="3"/>
  <c r="K66" i="3" l="1"/>
  <c r="J66" i="3"/>
  <c r="L67" i="3"/>
  <c r="M67" i="3" s="1"/>
  <c r="V67" i="3"/>
  <c r="D68" i="3"/>
  <c r="F68" i="3" s="1"/>
  <c r="G67" i="3"/>
  <c r="I67" i="3" s="1"/>
  <c r="P66" i="3"/>
  <c r="O66" i="3"/>
  <c r="K67" i="3" l="1"/>
  <c r="L68" i="3"/>
  <c r="M68" i="3" s="1"/>
  <c r="J67" i="3"/>
  <c r="D69" i="3"/>
  <c r="F69" i="3" s="1"/>
  <c r="V68" i="3"/>
  <c r="G68" i="3"/>
  <c r="I68" i="3" s="1"/>
  <c r="O67" i="3"/>
  <c r="P67" i="3"/>
  <c r="V69" i="3" l="1"/>
  <c r="D70" i="3"/>
  <c r="F70" i="3" s="1"/>
  <c r="G69" i="3"/>
  <c r="I69" i="3" s="1"/>
  <c r="J68" i="3"/>
  <c r="L69" i="3"/>
  <c r="M69" i="3" s="1"/>
  <c r="K68" i="3"/>
  <c r="P68" i="3"/>
  <c r="O68" i="3"/>
  <c r="K69" i="3" l="1"/>
  <c r="J69" i="3"/>
  <c r="L70" i="3"/>
  <c r="M70" i="3" s="1"/>
  <c r="V70" i="3"/>
  <c r="D71" i="3"/>
  <c r="F71" i="3" s="1"/>
  <c r="G70" i="3"/>
  <c r="I70" i="3" s="1"/>
  <c r="P69" i="3"/>
  <c r="O69" i="3"/>
  <c r="J70" i="3" l="1"/>
  <c r="K70" i="3"/>
  <c r="L71" i="3"/>
  <c r="M71" i="3" s="1"/>
  <c r="V71" i="3"/>
  <c r="D72" i="3"/>
  <c r="F72" i="3" s="1"/>
  <c r="G71" i="3"/>
  <c r="I71" i="3" s="1"/>
  <c r="O70" i="3"/>
  <c r="P70" i="3"/>
  <c r="J71" i="3" l="1"/>
  <c r="L72" i="3"/>
  <c r="M72" i="3" s="1"/>
  <c r="K71" i="3"/>
  <c r="V72" i="3"/>
  <c r="D73" i="3"/>
  <c r="F73" i="3" s="1"/>
  <c r="G72" i="3"/>
  <c r="I72" i="3" s="1"/>
  <c r="P71" i="3"/>
  <c r="O71" i="3"/>
  <c r="J72" i="3" l="1"/>
  <c r="L73" i="3"/>
  <c r="M73" i="3" s="1"/>
  <c r="K72" i="3"/>
  <c r="V73" i="3"/>
  <c r="D74" i="3"/>
  <c r="F74" i="3" s="1"/>
  <c r="G73" i="3"/>
  <c r="I73" i="3" s="1"/>
  <c r="O72" i="3"/>
  <c r="P72" i="3"/>
  <c r="K73" i="3" l="1"/>
  <c r="L74" i="3"/>
  <c r="M74" i="3" s="1"/>
  <c r="J73" i="3"/>
  <c r="D75" i="3"/>
  <c r="F75" i="3" s="1"/>
  <c r="V74" i="3"/>
  <c r="G74" i="3"/>
  <c r="I74" i="3" s="1"/>
  <c r="P73" i="3"/>
  <c r="O73" i="3"/>
  <c r="V75" i="3" l="1"/>
  <c r="D76" i="3"/>
  <c r="F76" i="3" s="1"/>
  <c r="G75" i="3"/>
  <c r="I75" i="3" s="1"/>
  <c r="J74" i="3"/>
  <c r="K74" i="3"/>
  <c r="L75" i="3"/>
  <c r="M75" i="3" s="1"/>
  <c r="P74" i="3"/>
  <c r="O74" i="3"/>
  <c r="K75" i="3" l="1"/>
  <c r="J75" i="3"/>
  <c r="L76" i="3"/>
  <c r="M76" i="3" s="1"/>
  <c r="V76" i="3"/>
  <c r="D77" i="3"/>
  <c r="F77" i="3" s="1"/>
  <c r="G76" i="3"/>
  <c r="I76" i="3" s="1"/>
  <c r="P75" i="3"/>
  <c r="O75" i="3"/>
  <c r="L77" i="3" l="1"/>
  <c r="M77" i="3" s="1"/>
  <c r="J76" i="3"/>
  <c r="K76" i="3"/>
  <c r="D78" i="3"/>
  <c r="F78" i="3" s="1"/>
  <c r="V77" i="3"/>
  <c r="G77" i="3"/>
  <c r="I77" i="3" s="1"/>
  <c r="P76" i="3"/>
  <c r="O76" i="3"/>
  <c r="D79" i="3" l="1"/>
  <c r="F79" i="3" s="1"/>
  <c r="V78" i="3"/>
  <c r="G78" i="3"/>
  <c r="I78" i="3" s="1"/>
  <c r="K77" i="3"/>
  <c r="L78" i="3"/>
  <c r="M78" i="3" s="1"/>
  <c r="J77" i="3"/>
  <c r="P77" i="3"/>
  <c r="O77" i="3"/>
  <c r="V79" i="3" l="1"/>
  <c r="D80" i="3"/>
  <c r="F80" i="3" s="1"/>
  <c r="G79" i="3"/>
  <c r="I79" i="3" s="1"/>
  <c r="K78" i="3"/>
  <c r="J78" i="3"/>
  <c r="L79" i="3"/>
  <c r="M79" i="3" s="1"/>
  <c r="P78" i="3"/>
  <c r="O78" i="3"/>
  <c r="J79" i="3" l="1"/>
  <c r="L80" i="3"/>
  <c r="M80" i="3" s="1"/>
  <c r="K79" i="3"/>
  <c r="V80" i="3"/>
  <c r="D81" i="3"/>
  <c r="F81" i="3" s="1"/>
  <c r="G80" i="3"/>
  <c r="I80" i="3" s="1"/>
  <c r="P79" i="3"/>
  <c r="O79" i="3"/>
  <c r="K80" i="3" l="1"/>
  <c r="J80" i="3"/>
  <c r="L81" i="3"/>
  <c r="M81" i="3" s="1"/>
  <c r="D82" i="3"/>
  <c r="F82" i="3" s="1"/>
  <c r="V81" i="3"/>
  <c r="G81" i="3"/>
  <c r="I81" i="3" s="1"/>
  <c r="P80" i="3"/>
  <c r="O80" i="3"/>
  <c r="V82" i="3" l="1"/>
  <c r="D83" i="3"/>
  <c r="F83" i="3" s="1"/>
  <c r="G82" i="3"/>
  <c r="I82" i="3" s="1"/>
  <c r="K81" i="3"/>
  <c r="L82" i="3"/>
  <c r="M82" i="3" s="1"/>
  <c r="J81" i="3"/>
  <c r="P81" i="3"/>
  <c r="O81" i="3"/>
  <c r="K82" i="3" l="1"/>
  <c r="J82" i="3"/>
  <c r="L83" i="3"/>
  <c r="M83" i="3" s="1"/>
  <c r="V83" i="3"/>
  <c r="D84" i="3"/>
  <c r="F84" i="3" s="1"/>
  <c r="G83" i="3"/>
  <c r="I83" i="3" s="1"/>
  <c r="P82" i="3"/>
  <c r="O82" i="3"/>
  <c r="L84" i="3" l="1"/>
  <c r="M84" i="3" s="1"/>
  <c r="J83" i="3"/>
  <c r="K83" i="3"/>
  <c r="D85" i="3"/>
  <c r="F85" i="3" s="1"/>
  <c r="V84" i="3"/>
  <c r="G84" i="3"/>
  <c r="I84" i="3" s="1"/>
  <c r="P83" i="3"/>
  <c r="O83" i="3"/>
  <c r="V85" i="3" l="1"/>
  <c r="D86" i="3"/>
  <c r="F86" i="3" s="1"/>
  <c r="G85" i="3"/>
  <c r="I85" i="3" s="1"/>
  <c r="L85" i="3"/>
  <c r="M85" i="3" s="1"/>
  <c r="J84" i="3"/>
  <c r="K84" i="3"/>
  <c r="P84" i="3"/>
  <c r="O84" i="3"/>
  <c r="J85" i="3" l="1"/>
  <c r="K85" i="3"/>
  <c r="L86" i="3"/>
  <c r="M86" i="3" s="1"/>
  <c r="D87" i="3"/>
  <c r="F87" i="3" s="1"/>
  <c r="V86" i="3"/>
  <c r="G86" i="3"/>
  <c r="I86" i="3" s="1"/>
  <c r="P85" i="3"/>
  <c r="O85" i="3"/>
  <c r="D88" i="3" l="1"/>
  <c r="F88" i="3" s="1"/>
  <c r="V87" i="3"/>
  <c r="G87" i="3"/>
  <c r="I87" i="3" s="1"/>
  <c r="L87" i="3"/>
  <c r="M87" i="3" s="1"/>
  <c r="K86" i="3"/>
  <c r="J86" i="3"/>
  <c r="P86" i="3"/>
  <c r="O86" i="3"/>
  <c r="V88" i="3" l="1"/>
  <c r="D89" i="3"/>
  <c r="F89" i="3" s="1"/>
  <c r="G88" i="3"/>
  <c r="I88" i="3" s="1"/>
  <c r="K87" i="3"/>
  <c r="L88" i="3"/>
  <c r="M88" i="3" s="1"/>
  <c r="J87" i="3"/>
  <c r="O87" i="3"/>
  <c r="P87" i="3"/>
  <c r="L89" i="3" l="1"/>
  <c r="M89" i="3" s="1"/>
  <c r="K88" i="3"/>
  <c r="J88" i="3"/>
  <c r="V89" i="3"/>
  <c r="D90" i="3"/>
  <c r="F90" i="3" s="1"/>
  <c r="G89" i="3"/>
  <c r="I89" i="3" s="1"/>
  <c r="O88" i="3"/>
  <c r="P88" i="3"/>
  <c r="J89" i="3" l="1"/>
  <c r="L90" i="3"/>
  <c r="M90" i="3" s="1"/>
  <c r="K89" i="3"/>
  <c r="V90" i="3"/>
  <c r="D91" i="3"/>
  <c r="F91" i="3" s="1"/>
  <c r="G90" i="3"/>
  <c r="I90" i="3" s="1"/>
  <c r="O89" i="3"/>
  <c r="P89" i="3"/>
  <c r="K90" i="3" l="1"/>
  <c r="L91" i="3"/>
  <c r="M91" i="3" s="1"/>
  <c r="J90" i="3"/>
  <c r="V91" i="3"/>
  <c r="D92" i="3"/>
  <c r="F92" i="3" s="1"/>
  <c r="G91" i="3"/>
  <c r="I91" i="3" s="1"/>
  <c r="O90" i="3"/>
  <c r="P90" i="3"/>
  <c r="J91" i="3" l="1"/>
  <c r="L92" i="3"/>
  <c r="M92" i="3" s="1"/>
  <c r="K91" i="3"/>
  <c r="V92" i="3"/>
  <c r="D93" i="3"/>
  <c r="F93" i="3" s="1"/>
  <c r="G92" i="3"/>
  <c r="I92" i="3" s="1"/>
  <c r="O91" i="3"/>
  <c r="P91" i="3"/>
  <c r="J92" i="3" l="1"/>
  <c r="L93" i="3"/>
  <c r="M93" i="3" s="1"/>
  <c r="K92" i="3"/>
  <c r="D94" i="3"/>
  <c r="F94" i="3" s="1"/>
  <c r="V93" i="3"/>
  <c r="G93" i="3"/>
  <c r="I93" i="3" s="1"/>
  <c r="O92" i="3"/>
  <c r="P92" i="3"/>
  <c r="V94" i="3" l="1"/>
  <c r="D95" i="3"/>
  <c r="F95" i="3" s="1"/>
  <c r="G94" i="3"/>
  <c r="I94" i="3" s="1"/>
  <c r="L94" i="3"/>
  <c r="M94" i="3" s="1"/>
  <c r="K93" i="3"/>
  <c r="J93" i="3"/>
  <c r="P93" i="3"/>
  <c r="O93" i="3"/>
  <c r="K94" i="3" l="1"/>
  <c r="J94" i="3"/>
  <c r="L95" i="3"/>
  <c r="M95" i="3" s="1"/>
  <c r="V95" i="3"/>
  <c r="D96" i="3"/>
  <c r="F96" i="3" s="1"/>
  <c r="G95" i="3"/>
  <c r="I95" i="3" s="1"/>
  <c r="O94" i="3"/>
  <c r="P94" i="3"/>
  <c r="L96" i="3" l="1"/>
  <c r="M96" i="3" s="1"/>
  <c r="J95" i="3"/>
  <c r="K95" i="3"/>
  <c r="D97" i="3"/>
  <c r="F97" i="3" s="1"/>
  <c r="V96" i="3"/>
  <c r="G96" i="3"/>
  <c r="I96" i="3" s="1"/>
  <c r="P95" i="3"/>
  <c r="O95" i="3"/>
  <c r="D98" i="3" l="1"/>
  <c r="F98" i="3" s="1"/>
  <c r="V97" i="3"/>
  <c r="G97" i="3"/>
  <c r="I97" i="3" s="1"/>
  <c r="K96" i="3"/>
  <c r="L97" i="3"/>
  <c r="M97" i="3" s="1"/>
  <c r="J96" i="3"/>
  <c r="P96" i="3"/>
  <c r="O96" i="3"/>
  <c r="V98" i="3" l="1"/>
  <c r="D99" i="3"/>
  <c r="F99" i="3" s="1"/>
  <c r="G98" i="3"/>
  <c r="I98" i="3" s="1"/>
  <c r="J97" i="3"/>
  <c r="K97" i="3"/>
  <c r="L98" i="3"/>
  <c r="M98" i="3" s="1"/>
  <c r="O97" i="3"/>
  <c r="P97" i="3"/>
  <c r="G99" i="3" l="1"/>
  <c r="I99" i="3" s="1"/>
  <c r="K98" i="3"/>
  <c r="L99" i="3"/>
  <c r="M99" i="3" s="1"/>
  <c r="J98" i="3"/>
  <c r="V99" i="3"/>
  <c r="D100" i="3"/>
  <c r="F100" i="3" s="1"/>
  <c r="P98" i="3"/>
  <c r="O98" i="3"/>
  <c r="J99" i="3" l="1"/>
  <c r="K99" i="3"/>
  <c r="L100" i="3"/>
  <c r="M100" i="3" s="1"/>
  <c r="D101" i="3"/>
  <c r="F101" i="3" s="1"/>
  <c r="V100" i="3"/>
  <c r="G100" i="3"/>
  <c r="I100" i="3" s="1"/>
  <c r="O99" i="3"/>
  <c r="P99" i="3"/>
  <c r="B46" i="1"/>
  <c r="B37" i="1"/>
  <c r="G101" i="3" l="1"/>
  <c r="I101" i="3" s="1"/>
  <c r="D102" i="3"/>
  <c r="F102" i="3" s="1"/>
  <c r="V101" i="3"/>
  <c r="L101" i="3"/>
  <c r="M101" i="3" s="1"/>
  <c r="J100" i="3"/>
  <c r="K100" i="3"/>
  <c r="P100" i="3"/>
  <c r="O100" i="3"/>
  <c r="V102" i="3" l="1"/>
  <c r="D103" i="3"/>
  <c r="F103" i="3" s="1"/>
  <c r="G102" i="3"/>
  <c r="I102" i="3" s="1"/>
  <c r="L102" i="3"/>
  <c r="M102" i="3" s="1"/>
  <c r="J101" i="3"/>
  <c r="K101" i="3"/>
  <c r="O101" i="3"/>
  <c r="P101" i="3"/>
  <c r="J102" i="3" l="1"/>
  <c r="K102" i="3"/>
  <c r="L103" i="3"/>
  <c r="M103" i="3" s="1"/>
  <c r="V103" i="3"/>
  <c r="D104" i="3"/>
  <c r="F104" i="3" s="1"/>
  <c r="O102" i="3"/>
  <c r="P102" i="3"/>
  <c r="G103" i="3"/>
  <c r="I103" i="3" s="1"/>
  <c r="L104" i="3" l="1"/>
  <c r="M104" i="3" s="1"/>
  <c r="J103" i="3"/>
  <c r="K103" i="3"/>
  <c r="D105" i="3"/>
  <c r="F105" i="3" s="1"/>
  <c r="V104" i="3"/>
  <c r="O103" i="3"/>
  <c r="P103" i="3"/>
  <c r="G104" i="3"/>
  <c r="I104" i="3" s="1"/>
  <c r="D106" i="3" l="1"/>
  <c r="F106" i="3" s="1"/>
  <c r="V105" i="3"/>
  <c r="K104" i="3"/>
  <c r="L105" i="3"/>
  <c r="M105" i="3" s="1"/>
  <c r="J104" i="3"/>
  <c r="O104" i="3"/>
  <c r="P104" i="3"/>
  <c r="G105" i="3"/>
  <c r="I105" i="3" s="1"/>
  <c r="G106" i="3" l="1"/>
  <c r="I106" i="3" s="1"/>
  <c r="V106" i="3"/>
  <c r="D107" i="3"/>
  <c r="F107" i="3" s="1"/>
  <c r="J105" i="3"/>
  <c r="L106" i="3"/>
  <c r="M106" i="3" s="1"/>
  <c r="K105" i="3"/>
  <c r="O105" i="3"/>
  <c r="P105" i="3"/>
  <c r="K106" i="3" l="1"/>
  <c r="J106" i="3"/>
  <c r="L107" i="3"/>
  <c r="M107" i="3" s="1"/>
  <c r="D108" i="3"/>
  <c r="F108" i="3" s="1"/>
  <c r="V107" i="3"/>
  <c r="P106" i="3"/>
  <c r="O106" i="3"/>
  <c r="G107" i="3"/>
  <c r="I107" i="3" s="1"/>
  <c r="G108" i="3" l="1"/>
  <c r="I108" i="3" s="1"/>
  <c r="D109" i="3"/>
  <c r="F109" i="3" s="1"/>
  <c r="V108" i="3"/>
  <c r="K107" i="3"/>
  <c r="J107" i="3"/>
  <c r="L108" i="3"/>
  <c r="M108" i="3" s="1"/>
  <c r="P107" i="3"/>
  <c r="O107" i="3"/>
  <c r="D110" i="3" l="1"/>
  <c r="F110" i="3" s="1"/>
  <c r="V109" i="3"/>
  <c r="G109" i="3"/>
  <c r="I109" i="3" s="1"/>
  <c r="J108" i="3"/>
  <c r="K108" i="3"/>
  <c r="L109" i="3"/>
  <c r="M109" i="3" s="1"/>
  <c r="O108" i="3"/>
  <c r="P108" i="3"/>
  <c r="G110" i="3" l="1"/>
  <c r="I110" i="3" s="1"/>
  <c r="V110" i="3"/>
  <c r="D111" i="3"/>
  <c r="F111" i="3" s="1"/>
  <c r="K109" i="3"/>
  <c r="L110" i="3"/>
  <c r="M110" i="3" s="1"/>
  <c r="J109" i="3"/>
  <c r="O109" i="3"/>
  <c r="P109" i="3"/>
  <c r="K110" i="3" l="1"/>
  <c r="J110" i="3"/>
  <c r="L111" i="3"/>
  <c r="M111" i="3" s="1"/>
  <c r="D112" i="3"/>
  <c r="F112" i="3" s="1"/>
  <c r="V111" i="3"/>
  <c r="P110" i="3"/>
  <c r="O110" i="3"/>
  <c r="G111" i="3"/>
  <c r="I111" i="3" s="1"/>
  <c r="V112" i="3" l="1"/>
  <c r="D113" i="3"/>
  <c r="F113" i="3" s="1"/>
  <c r="G112" i="3"/>
  <c r="I112" i="3" s="1"/>
  <c r="J111" i="3"/>
  <c r="K111" i="3"/>
  <c r="L112" i="3"/>
  <c r="M112" i="3" s="1"/>
  <c r="O111" i="3"/>
  <c r="P111" i="3"/>
  <c r="K112" i="3" l="1"/>
  <c r="J112" i="3"/>
  <c r="L113" i="3"/>
  <c r="M113" i="3" s="1"/>
  <c r="G113" i="3"/>
  <c r="I113" i="3" s="1"/>
  <c r="V113" i="3"/>
  <c r="D114" i="3"/>
  <c r="F114" i="3" s="1"/>
  <c r="P112" i="3"/>
  <c r="O112" i="3"/>
  <c r="G114" i="3" l="1"/>
  <c r="I114" i="3" s="1"/>
  <c r="K113" i="3"/>
  <c r="L114" i="3"/>
  <c r="M114" i="3" s="1"/>
  <c r="J113" i="3"/>
  <c r="V114" i="3"/>
  <c r="D115" i="3"/>
  <c r="F115" i="3" s="1"/>
  <c r="O113" i="3"/>
  <c r="P113" i="3"/>
  <c r="L115" i="3" l="1"/>
  <c r="M115" i="3" s="1"/>
  <c r="K114" i="3"/>
  <c r="J114" i="3"/>
  <c r="V115" i="3"/>
  <c r="G115" i="3"/>
  <c r="I115" i="3" s="1"/>
  <c r="D116" i="3"/>
  <c r="F116" i="3" s="1"/>
  <c r="P114" i="3"/>
  <c r="O114" i="3"/>
  <c r="G116" i="3" l="1"/>
  <c r="I116" i="3" s="1"/>
  <c r="K115" i="3"/>
  <c r="L116" i="3"/>
  <c r="M116" i="3" s="1"/>
  <c r="J115" i="3"/>
  <c r="V116" i="3"/>
  <c r="D117" i="3"/>
  <c r="F117" i="3" s="1"/>
  <c r="O115" i="3"/>
  <c r="P115" i="3"/>
  <c r="L117" i="3" l="1"/>
  <c r="M117" i="3" s="1"/>
  <c r="J116" i="3"/>
  <c r="K116" i="3"/>
  <c r="G117" i="3"/>
  <c r="I117" i="3" s="1"/>
  <c r="V117" i="3"/>
  <c r="D118" i="3"/>
  <c r="F118" i="3" s="1"/>
  <c r="O116" i="3"/>
  <c r="P116" i="3"/>
  <c r="G118" i="3" l="1"/>
  <c r="I118" i="3" s="1"/>
  <c r="K117" i="3"/>
  <c r="L118" i="3"/>
  <c r="M118" i="3" s="1"/>
  <c r="J117" i="3"/>
  <c r="D119" i="3"/>
  <c r="F119" i="3" s="1"/>
  <c r="V118" i="3"/>
  <c r="O117" i="3"/>
  <c r="P117" i="3"/>
  <c r="G119" i="3" l="1"/>
  <c r="I119" i="3" s="1"/>
  <c r="V119" i="3"/>
  <c r="D120" i="3"/>
  <c r="F120" i="3" s="1"/>
  <c r="J118" i="3"/>
  <c r="L119" i="3"/>
  <c r="M119" i="3" s="1"/>
  <c r="K118" i="3"/>
  <c r="P118" i="3"/>
  <c r="O118" i="3"/>
  <c r="J119" i="3" l="1"/>
  <c r="L120" i="3"/>
  <c r="M120" i="3" s="1"/>
  <c r="K119" i="3"/>
  <c r="G120" i="3"/>
  <c r="I120" i="3" s="1"/>
  <c r="V120" i="3"/>
  <c r="D121" i="3"/>
  <c r="F121" i="3" s="1"/>
  <c r="O119" i="3"/>
  <c r="P119" i="3"/>
  <c r="J120" i="3" l="1"/>
  <c r="K120" i="3"/>
  <c r="L121" i="3"/>
  <c r="M121" i="3" s="1"/>
  <c r="V121" i="3"/>
  <c r="G121" i="3"/>
  <c r="I121" i="3" s="1"/>
  <c r="D122" i="3"/>
  <c r="F122" i="3" s="1"/>
  <c r="O120" i="3"/>
  <c r="P120" i="3"/>
  <c r="D124" i="3"/>
  <c r="F124" i="3" s="1"/>
  <c r="K121" i="3" l="1"/>
  <c r="J121" i="3"/>
  <c r="L122" i="3"/>
  <c r="M122" i="3" s="1"/>
  <c r="G122" i="3"/>
  <c r="I122" i="3" s="1"/>
  <c r="V122" i="3"/>
  <c r="D123" i="3"/>
  <c r="F123" i="3" s="1"/>
  <c r="P121" i="3"/>
  <c r="O121" i="3"/>
  <c r="D125" i="3"/>
  <c r="F125" i="3" s="1"/>
  <c r="V124" i="3"/>
  <c r="L124" i="3"/>
  <c r="M124" i="3" s="1"/>
  <c r="G124" i="3"/>
  <c r="I124" i="3" s="1"/>
  <c r="K122" i="3" l="1"/>
  <c r="J122" i="3"/>
  <c r="L123" i="3"/>
  <c r="M123" i="3" s="1"/>
  <c r="G123" i="3"/>
  <c r="I123" i="3" s="1"/>
  <c r="V123" i="3"/>
  <c r="O122" i="3"/>
  <c r="P122" i="3"/>
  <c r="V125" i="3"/>
  <c r="D126" i="3"/>
  <c r="F126" i="3" s="1"/>
  <c r="K124" i="3"/>
  <c r="J124" i="3"/>
  <c r="L125" i="3"/>
  <c r="M125" i="3" s="1"/>
  <c r="P124" i="3"/>
  <c r="O124" i="3"/>
  <c r="G125" i="3"/>
  <c r="I125" i="3" s="1"/>
  <c r="K123" i="3" l="1"/>
  <c r="J123" i="3"/>
  <c r="P123" i="3"/>
  <c r="O123" i="3"/>
  <c r="L126" i="3"/>
  <c r="M126" i="3" s="1"/>
  <c r="J125" i="3"/>
  <c r="K125" i="3"/>
  <c r="V126" i="3"/>
  <c r="D127" i="3"/>
  <c r="F127" i="3" s="1"/>
  <c r="P125" i="3"/>
  <c r="O125" i="3"/>
  <c r="G126" i="3"/>
  <c r="I126" i="3" s="1"/>
  <c r="L127" i="3" l="1"/>
  <c r="M127" i="3" s="1"/>
  <c r="K126" i="3"/>
  <c r="J126" i="3"/>
  <c r="V127" i="3"/>
  <c r="D128" i="3"/>
  <c r="F128" i="3" s="1"/>
  <c r="P126" i="3"/>
  <c r="O126" i="3"/>
  <c r="G127" i="3"/>
  <c r="I127" i="3" s="1"/>
  <c r="K127" i="3" l="1"/>
  <c r="J127" i="3"/>
  <c r="L128" i="3"/>
  <c r="M128" i="3" s="1"/>
  <c r="D129" i="3"/>
  <c r="F129" i="3" s="1"/>
  <c r="V128" i="3"/>
  <c r="O127" i="3"/>
  <c r="P127" i="3"/>
  <c r="G128" i="3"/>
  <c r="I128" i="3" s="1"/>
  <c r="D130" i="3" l="1"/>
  <c r="F130" i="3" s="1"/>
  <c r="V129" i="3"/>
  <c r="L129" i="3"/>
  <c r="M129" i="3" s="1"/>
  <c r="K128" i="3"/>
  <c r="J128" i="3"/>
  <c r="P128" i="3"/>
  <c r="O128" i="3"/>
  <c r="G129" i="3"/>
  <c r="I129" i="3" s="1"/>
  <c r="D131" i="3" l="1"/>
  <c r="F131" i="3" s="1"/>
  <c r="V130" i="3"/>
  <c r="K129" i="3"/>
  <c r="L130" i="3"/>
  <c r="M130" i="3" s="1"/>
  <c r="J129" i="3"/>
  <c r="P129" i="3"/>
  <c r="O129" i="3"/>
  <c r="G130" i="3"/>
  <c r="I130" i="3" s="1"/>
  <c r="G131" i="3" l="1"/>
  <c r="I131" i="3" s="1"/>
  <c r="V131" i="3"/>
  <c r="D132" i="3"/>
  <c r="F132" i="3" s="1"/>
  <c r="L131" i="3"/>
  <c r="M131" i="3" s="1"/>
  <c r="J130" i="3"/>
  <c r="K130" i="3"/>
  <c r="O130" i="3"/>
  <c r="P130" i="3"/>
  <c r="J131" i="3" l="1"/>
  <c r="K131" i="3"/>
  <c r="L132" i="3"/>
  <c r="M132" i="3" s="1"/>
  <c r="D133" i="3"/>
  <c r="F133" i="3" s="1"/>
  <c r="V132" i="3"/>
  <c r="O131" i="3"/>
  <c r="P131" i="3"/>
  <c r="G132" i="3"/>
  <c r="I132" i="3" s="1"/>
  <c r="D134" i="3" l="1"/>
  <c r="F134" i="3" s="1"/>
  <c r="V133" i="3"/>
  <c r="L133" i="3"/>
  <c r="M133" i="3" s="1"/>
  <c r="K132" i="3"/>
  <c r="J132" i="3"/>
  <c r="O132" i="3"/>
  <c r="P132" i="3"/>
  <c r="G133" i="3"/>
  <c r="I133" i="3" s="1"/>
  <c r="V134" i="3" l="1"/>
  <c r="D135" i="3"/>
  <c r="F135" i="3" s="1"/>
  <c r="J133" i="3"/>
  <c r="K133" i="3"/>
  <c r="L134" i="3"/>
  <c r="M134" i="3" s="1"/>
  <c r="P133" i="3"/>
  <c r="O133" i="3"/>
  <c r="G134" i="3"/>
  <c r="I134" i="3" s="1"/>
  <c r="K134" i="3" l="1"/>
  <c r="J134" i="3"/>
  <c r="L135" i="3"/>
  <c r="M135" i="3" s="1"/>
  <c r="D136" i="3"/>
  <c r="F136" i="3" s="1"/>
  <c r="V135" i="3"/>
  <c r="P134" i="3"/>
  <c r="O134" i="3"/>
  <c r="G135" i="3"/>
  <c r="I135" i="3" s="1"/>
  <c r="G136" i="3" l="1"/>
  <c r="I136" i="3" s="1"/>
  <c r="D137" i="3"/>
  <c r="F137" i="3" s="1"/>
  <c r="V136" i="3"/>
  <c r="J135" i="3"/>
  <c r="K135" i="3"/>
  <c r="L136" i="3"/>
  <c r="M136" i="3" s="1"/>
  <c r="P135" i="3"/>
  <c r="O135" i="3"/>
  <c r="D138" i="3" l="1"/>
  <c r="F138" i="3" s="1"/>
  <c r="V137" i="3"/>
  <c r="J136" i="3"/>
  <c r="L137" i="3"/>
  <c r="M137" i="3" s="1"/>
  <c r="K136" i="3"/>
  <c r="P136" i="3"/>
  <c r="O136" i="3"/>
  <c r="G137" i="3"/>
  <c r="I137" i="3" s="1"/>
  <c r="V138" i="3" l="1"/>
  <c r="D139" i="3"/>
  <c r="F139" i="3" s="1"/>
  <c r="J137" i="3"/>
  <c r="K137" i="3"/>
  <c r="L138" i="3"/>
  <c r="M138" i="3" s="1"/>
  <c r="O137" i="3"/>
  <c r="P137" i="3"/>
  <c r="G138" i="3"/>
  <c r="I138" i="3" s="1"/>
  <c r="L139" i="3" l="1"/>
  <c r="M139" i="3" s="1"/>
  <c r="K138" i="3"/>
  <c r="J138" i="3"/>
  <c r="D140" i="3"/>
  <c r="F140" i="3" s="1"/>
  <c r="V139" i="3"/>
  <c r="P138" i="3"/>
  <c r="O138" i="3"/>
  <c r="G139" i="3"/>
  <c r="I139" i="3" s="1"/>
  <c r="D141" i="3" l="1"/>
  <c r="F141" i="3" s="1"/>
  <c r="V140" i="3"/>
  <c r="L140" i="3"/>
  <c r="M140" i="3" s="1"/>
  <c r="K139" i="3"/>
  <c r="J139" i="3"/>
  <c r="P139" i="3"/>
  <c r="O139" i="3"/>
  <c r="G140" i="3"/>
  <c r="I140" i="3" s="1"/>
  <c r="D142" i="3" l="1"/>
  <c r="F142" i="3" s="1"/>
  <c r="V141" i="3"/>
  <c r="J140" i="3"/>
  <c r="K140" i="3"/>
  <c r="L141" i="3"/>
  <c r="M141" i="3" s="1"/>
  <c r="P140" i="3"/>
  <c r="O140" i="3"/>
  <c r="G141" i="3"/>
  <c r="I141" i="3" s="1"/>
  <c r="D143" i="3" l="1"/>
  <c r="F143" i="3" s="1"/>
  <c r="V142" i="3"/>
  <c r="K141" i="3"/>
  <c r="L142" i="3"/>
  <c r="M142" i="3" s="1"/>
  <c r="J141" i="3"/>
  <c r="O141" i="3"/>
  <c r="P141" i="3"/>
  <c r="G142" i="3"/>
  <c r="I142" i="3" s="1"/>
  <c r="D144" i="3" l="1"/>
  <c r="F144" i="3" s="1"/>
  <c r="V143" i="3"/>
  <c r="K142" i="3"/>
  <c r="L143" i="3"/>
  <c r="M143" i="3" s="1"/>
  <c r="J142" i="3"/>
  <c r="P142" i="3"/>
  <c r="O142" i="3"/>
  <c r="G143" i="3"/>
  <c r="I143" i="3" s="1"/>
  <c r="D145" i="3" l="1"/>
  <c r="F145" i="3" s="1"/>
  <c r="V144" i="3"/>
  <c r="K143" i="3"/>
  <c r="L144" i="3"/>
  <c r="M144" i="3" s="1"/>
  <c r="J143" i="3"/>
  <c r="O143" i="3"/>
  <c r="P143" i="3"/>
  <c r="G144" i="3"/>
  <c r="I144" i="3" s="1"/>
  <c r="G145" i="3" l="1"/>
  <c r="I145" i="3" s="1"/>
  <c r="D146" i="3"/>
  <c r="F146" i="3" s="1"/>
  <c r="V145" i="3"/>
  <c r="J144" i="3"/>
  <c r="K144" i="3"/>
  <c r="L145" i="3"/>
  <c r="M145" i="3" s="1"/>
  <c r="O144" i="3"/>
  <c r="P144" i="3"/>
  <c r="G146" i="3" l="1"/>
  <c r="I146" i="3" s="1"/>
  <c r="V146" i="3"/>
  <c r="D147" i="3"/>
  <c r="F147" i="3" s="1"/>
  <c r="V147" i="3" s="1"/>
  <c r="L146" i="3"/>
  <c r="M146" i="3" s="1"/>
  <c r="J145" i="3"/>
  <c r="K145" i="3"/>
  <c r="O145" i="3"/>
  <c r="P145" i="3"/>
  <c r="G147" i="3" l="1"/>
  <c r="I147" i="3" s="1"/>
  <c r="L147" i="3"/>
  <c r="M147" i="3" s="1"/>
  <c r="K146" i="3"/>
  <c r="J146" i="3"/>
  <c r="J147" i="3"/>
  <c r="K147" i="3"/>
  <c r="O146" i="3"/>
  <c r="P146" i="3"/>
  <c r="K11" i="1"/>
  <c r="K12" i="1" l="1"/>
  <c r="K4" i="1"/>
  <c r="B55" i="1" s="1"/>
  <c r="P147" i="3"/>
  <c r="O147" i="3"/>
  <c r="E56" i="1" l="1"/>
  <c r="B74" i="1"/>
  <c r="B71" i="1" s="1"/>
  <c r="B61" i="1"/>
  <c r="B62" i="1" s="1"/>
  <c r="B83" i="1" l="1"/>
  <c r="B80" i="1" s="1"/>
  <c r="B84" i="1" s="1"/>
  <c r="B66" i="1"/>
  <c r="B67" i="1" s="1"/>
  <c r="B68" i="1" s="1"/>
  <c r="E57" i="1"/>
  <c r="E58" i="1" s="1"/>
  <c r="B75" i="1"/>
  <c r="B76" i="1" l="1"/>
  <c r="B77" i="1" s="1"/>
  <c r="B85" i="1"/>
  <c r="B86" i="1" s="1"/>
  <c r="B57" i="1" l="1"/>
  <c r="B14" i="1" s="1"/>
  <c r="K5" i="1" s="1"/>
  <c r="L5" i="4" s="1"/>
  <c r="M9" i="1" l="1"/>
  <c r="K8" i="1"/>
  <c r="E13" i="1" l="1"/>
  <c r="K10" i="1"/>
  <c r="J3" i="3"/>
  <c r="N131" i="3"/>
  <c r="R131" i="3" s="1"/>
  <c r="N142" i="3"/>
  <c r="R142" i="3" s="1"/>
  <c r="N133" i="3"/>
  <c r="R133" i="3" s="1"/>
  <c r="N139" i="3"/>
  <c r="R139" i="3" s="1"/>
  <c r="N141" i="3"/>
  <c r="R141" i="3" s="1"/>
  <c r="N130" i="3"/>
  <c r="R130" i="3" s="1"/>
  <c r="N147" i="3"/>
  <c r="R147" i="3" s="1"/>
  <c r="N145" i="3"/>
  <c r="R145" i="3" s="1"/>
  <c r="N126" i="3"/>
  <c r="R126" i="3" s="1"/>
  <c r="N134" i="3"/>
  <c r="R134" i="3" s="1"/>
  <c r="N143" i="3"/>
  <c r="R143" i="3" s="1"/>
  <c r="N144" i="3"/>
  <c r="R144" i="3" s="1"/>
  <c r="N132" i="3"/>
  <c r="R132" i="3" s="1"/>
  <c r="N137" i="3"/>
  <c r="R137" i="3" s="1"/>
  <c r="N138" i="3"/>
  <c r="R138" i="3" s="1"/>
  <c r="N146" i="3"/>
  <c r="R146" i="3" s="1"/>
  <c r="N125" i="3"/>
  <c r="R125" i="3" s="1"/>
  <c r="N124" i="3"/>
  <c r="R124" i="3" s="1"/>
  <c r="N129" i="3"/>
  <c r="R129" i="3" s="1"/>
  <c r="N135" i="3"/>
  <c r="R135" i="3" s="1"/>
  <c r="N127" i="3"/>
  <c r="R127" i="3" s="1"/>
  <c r="N128" i="3"/>
  <c r="R128" i="3" s="1"/>
  <c r="N136" i="3"/>
  <c r="R136" i="3" s="1"/>
  <c r="N140" i="3"/>
  <c r="R140" i="3" s="1"/>
  <c r="K13" i="1"/>
  <c r="N61" i="3" l="1"/>
  <c r="R61" i="3" s="1"/>
  <c r="N58" i="3"/>
  <c r="R58" i="3" s="1"/>
  <c r="N11" i="3"/>
  <c r="R11" i="3" s="1"/>
  <c r="N76" i="3"/>
  <c r="R76" i="3" s="1"/>
  <c r="N66" i="3"/>
  <c r="R66" i="3" s="1"/>
  <c r="N48" i="3"/>
  <c r="R48" i="3" s="1"/>
  <c r="N56" i="3"/>
  <c r="R56" i="3" s="1"/>
  <c r="N55" i="3"/>
  <c r="R55" i="3" s="1"/>
  <c r="N78" i="3"/>
  <c r="R78" i="3" s="1"/>
  <c r="N51" i="3"/>
  <c r="R51" i="3" s="1"/>
  <c r="N75" i="3"/>
  <c r="R75" i="3" s="1"/>
  <c r="N14" i="3"/>
  <c r="R14" i="3" s="1"/>
  <c r="N17" i="3"/>
  <c r="R17" i="3" s="1"/>
  <c r="N87" i="3"/>
  <c r="R87" i="3" s="1"/>
  <c r="N22" i="3"/>
  <c r="R22" i="3" s="1"/>
  <c r="N77" i="3"/>
  <c r="R77" i="3" s="1"/>
  <c r="N7" i="3"/>
  <c r="R7" i="3" s="1"/>
  <c r="N100" i="3"/>
  <c r="R100" i="3" s="1"/>
  <c r="N65" i="3"/>
  <c r="R65" i="3" s="1"/>
  <c r="N98" i="3"/>
  <c r="R98" i="3" s="1"/>
  <c r="N89" i="3"/>
  <c r="R89" i="3" s="1"/>
  <c r="N25" i="3"/>
  <c r="R25" i="3" s="1"/>
  <c r="N3" i="3"/>
  <c r="N30" i="3"/>
  <c r="R30" i="3" s="1"/>
  <c r="N113" i="3"/>
  <c r="R113" i="3" s="1"/>
  <c r="N123" i="3"/>
  <c r="R123" i="3" s="1"/>
  <c r="N39" i="3"/>
  <c r="R39" i="3" s="1"/>
  <c r="N69" i="3"/>
  <c r="R69" i="3" s="1"/>
  <c r="N64" i="3"/>
  <c r="R64" i="3" s="1"/>
  <c r="N93" i="3"/>
  <c r="R93" i="3" s="1"/>
  <c r="N52" i="3"/>
  <c r="R52" i="3" s="1"/>
  <c r="N8" i="3"/>
  <c r="R8" i="3" s="1"/>
  <c r="N19" i="3"/>
  <c r="R19" i="3" s="1"/>
  <c r="N42" i="3"/>
  <c r="R42" i="3" s="1"/>
  <c r="N79" i="3"/>
  <c r="R79" i="3" s="1"/>
  <c r="N115" i="3"/>
  <c r="R115" i="3" s="1"/>
  <c r="N43" i="3"/>
  <c r="R43" i="3" s="1"/>
  <c r="N18" i="3"/>
  <c r="R18" i="3" s="1"/>
  <c r="N57" i="3"/>
  <c r="R57" i="3" s="1"/>
  <c r="N84" i="3"/>
  <c r="R84" i="3" s="1"/>
  <c r="N71" i="3"/>
  <c r="R71" i="3" s="1"/>
  <c r="N85" i="3"/>
  <c r="R85" i="3" s="1"/>
  <c r="N24" i="3"/>
  <c r="R24" i="3" s="1"/>
  <c r="N83" i="3"/>
  <c r="R83" i="3" s="1"/>
  <c r="N91" i="3"/>
  <c r="R91" i="3" s="1"/>
  <c r="N23" i="3"/>
  <c r="R23" i="3" s="1"/>
  <c r="N32" i="3"/>
  <c r="R32" i="3" s="1"/>
  <c r="N70" i="3"/>
  <c r="R70" i="3" s="1"/>
  <c r="N62" i="3"/>
  <c r="R62" i="3" s="1"/>
  <c r="N59" i="3"/>
  <c r="R59" i="3" s="1"/>
  <c r="N9" i="3"/>
  <c r="R9" i="3" s="1"/>
  <c r="N102" i="3"/>
  <c r="R102" i="3" s="1"/>
  <c r="N86" i="3"/>
  <c r="R86" i="3" s="1"/>
  <c r="N117" i="3"/>
  <c r="R117" i="3" s="1"/>
  <c r="N5" i="3"/>
  <c r="R5" i="3" s="1"/>
  <c r="N46" i="3"/>
  <c r="R46" i="3" s="1"/>
  <c r="N21" i="3"/>
  <c r="R21" i="3" s="1"/>
  <c r="N73" i="3"/>
  <c r="R73" i="3" s="1"/>
  <c r="N4" i="3"/>
  <c r="R4" i="3" s="1"/>
  <c r="N12" i="3"/>
  <c r="R12" i="3" s="1"/>
  <c r="N27" i="3"/>
  <c r="R27" i="3" s="1"/>
  <c r="N13" i="3"/>
  <c r="R13" i="3" s="1"/>
  <c r="N95" i="3"/>
  <c r="R95" i="3" s="1"/>
  <c r="N74" i="3"/>
  <c r="R74" i="3" s="1"/>
  <c r="N82" i="3"/>
  <c r="R82" i="3" s="1"/>
  <c r="N28" i="3"/>
  <c r="R28" i="3" s="1"/>
  <c r="N34" i="3"/>
  <c r="R34" i="3" s="1"/>
  <c r="N68" i="3"/>
  <c r="R68" i="3" s="1"/>
  <c r="N40" i="3"/>
  <c r="R40" i="3" s="1"/>
  <c r="N26" i="3"/>
  <c r="R26" i="3" s="1"/>
  <c r="N45" i="3"/>
  <c r="R45" i="3" s="1"/>
  <c r="N35" i="3"/>
  <c r="R35" i="3" s="1"/>
  <c r="N16" i="3"/>
  <c r="R16" i="3" s="1"/>
  <c r="N38" i="3"/>
  <c r="R38" i="3" s="1"/>
  <c r="N96" i="3"/>
  <c r="R96" i="3" s="1"/>
  <c r="N72" i="3"/>
  <c r="R72" i="3" s="1"/>
  <c r="N33" i="3"/>
  <c r="R33" i="3" s="1"/>
  <c r="N37" i="3"/>
  <c r="R37" i="3" s="1"/>
  <c r="N50" i="3"/>
  <c r="R50" i="3" s="1"/>
  <c r="N119" i="3"/>
  <c r="R119" i="3" s="1"/>
  <c r="N60" i="3"/>
  <c r="R60" i="3" s="1"/>
  <c r="N118" i="3"/>
  <c r="R118" i="3" s="1"/>
  <c r="N99" i="3"/>
  <c r="R99" i="3" s="1"/>
  <c r="N81" i="3"/>
  <c r="R81" i="3" s="1"/>
  <c r="N54" i="3"/>
  <c r="R54" i="3" s="1"/>
  <c r="N6" i="3"/>
  <c r="R6" i="3" s="1"/>
  <c r="N88" i="3"/>
  <c r="R88" i="3" s="1"/>
  <c r="N108" i="3"/>
  <c r="R108" i="3" s="1"/>
  <c r="N111" i="3"/>
  <c r="R111" i="3" s="1"/>
  <c r="N109" i="3"/>
  <c r="R109" i="3" s="1"/>
  <c r="N63" i="3"/>
  <c r="R63" i="3" s="1"/>
  <c r="N36" i="3"/>
  <c r="R36" i="3" s="1"/>
  <c r="N29" i="3"/>
  <c r="R29" i="3" s="1"/>
  <c r="N80" i="3"/>
  <c r="R80" i="3" s="1"/>
  <c r="N44" i="3"/>
  <c r="R44" i="3" s="1"/>
  <c r="N15" i="3"/>
  <c r="R15" i="3" s="1"/>
  <c r="N47" i="3"/>
  <c r="R47" i="3" s="1"/>
  <c r="N94" i="3"/>
  <c r="R94" i="3" s="1"/>
  <c r="N53" i="3"/>
  <c r="R53" i="3" s="1"/>
  <c r="N97" i="3"/>
  <c r="R97" i="3" s="1"/>
  <c r="N31" i="3"/>
  <c r="R31" i="3" s="1"/>
  <c r="N49" i="3"/>
  <c r="R49" i="3" s="1"/>
  <c r="N10" i="3"/>
  <c r="R10" i="3" s="1"/>
  <c r="N107" i="3"/>
  <c r="R107" i="3" s="1"/>
  <c r="N121" i="3"/>
  <c r="R121" i="3" s="1"/>
  <c r="N101" i="3"/>
  <c r="R101" i="3" s="1"/>
  <c r="N106" i="3"/>
  <c r="R106" i="3" s="1"/>
  <c r="N120" i="3"/>
  <c r="R120" i="3" s="1"/>
  <c r="N112" i="3"/>
  <c r="R112" i="3" s="1"/>
  <c r="N90" i="3"/>
  <c r="R90" i="3" s="1"/>
  <c r="N67" i="3"/>
  <c r="R67" i="3" s="1"/>
  <c r="R3" i="3"/>
  <c r="N92" i="3"/>
  <c r="R92" i="3" s="1"/>
  <c r="N41" i="3"/>
  <c r="R41" i="3" s="1"/>
  <c r="N20" i="3"/>
  <c r="R20" i="3" s="1"/>
  <c r="N116" i="3"/>
  <c r="R116" i="3" s="1"/>
  <c r="N110" i="3"/>
  <c r="R110" i="3" s="1"/>
  <c r="N122" i="3"/>
  <c r="R122" i="3" s="1"/>
  <c r="N114" i="3"/>
  <c r="R114" i="3" s="1"/>
  <c r="N105" i="3"/>
  <c r="R105" i="3" s="1"/>
  <c r="N104" i="3"/>
  <c r="R104" i="3" s="1"/>
  <c r="N103" i="3"/>
  <c r="R103" i="3" s="1"/>
  <c r="N2" i="1"/>
  <c r="N3" i="1"/>
  <c r="N4" i="1" l="1"/>
  <c r="P8" i="4"/>
  <c r="K2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Wadih de Oliveira Ferreira</author>
  </authors>
  <commentList>
    <comment ref="E8" authorId="0" shapeId="0" xr:uid="{6F62682A-F5D0-C543-8C89-5A745058B4C8}">
      <text>
        <r>
          <rPr>
            <b/>
            <sz val="10"/>
            <color rgb="FF000000"/>
            <rFont val="Tahoma"/>
            <family val="2"/>
          </rPr>
          <t>Gabriel Wadih de Oliveira Ferreira: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O resultado do cálculo só terá uma aproximação correta caso a carência estimada e a data de corte estejam corretas, de acordo com as normas do convênio.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D2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[Comentário encadeado]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Sua versão do Excel permite que você leia este comentário encadeado, no entanto, as edições serão removidas se o arquivo for aberto em uma versão mais recente do Excel. Saiba mais: https://go.microsoft.com/fwlink/?linkid=870924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Comentário:
</t>
        </r>
        <r>
          <rPr>
            <sz val="10"/>
            <color rgb="FF000000"/>
            <rFont val="Arial"/>
            <family val="2"/>
          </rPr>
          <t xml:space="preserve">    Para testes de Refin Nº PMT Liq. tem quer ser maior que 90.</t>
        </r>
      </text>
    </comment>
    <comment ref="D7" authorId="0" shapeId="0" xr:uid="{00000000-0006-0000-0000-000002000000}">
      <text>
        <r>
          <rPr>
            <sz val="10"/>
            <color rgb="FF000000"/>
            <rFont val="Arial"/>
            <family val="2"/>
          </rPr>
          <t xml:space="preserve">Informe conforme lista em:
</t>
        </r>
        <r>
          <rPr>
            <sz val="10"/>
            <color rgb="FF000000"/>
            <rFont val="Arial"/>
            <family val="2"/>
          </rPr>
          <t xml:space="preserve">Custos marginais
</t>
        </r>
        <r>
          <rPr>
            <sz val="10"/>
            <color rgb="FF000000"/>
            <rFont val="Arial"/>
            <family val="2"/>
          </rPr>
          <t>E2:P25</t>
        </r>
      </text>
    </comment>
    <comment ref="D8" authorId="0" shapeId="0" xr:uid="{00000000-0006-0000-0000-000003000000}">
      <text>
        <r>
          <rPr>
            <sz val="10"/>
            <color rgb="FF000000"/>
            <rFont val="Arial"/>
            <family val="2"/>
          </rPr>
          <t xml:space="preserve">Informe conforme lista em:
</t>
        </r>
        <r>
          <rPr>
            <sz val="10"/>
            <color rgb="FF000000"/>
            <rFont val="Arial"/>
            <family val="2"/>
          </rPr>
          <t xml:space="preserve">Custos marginais
</t>
        </r>
        <r>
          <rPr>
            <sz val="10"/>
            <color rgb="FF000000"/>
            <rFont val="Arial"/>
            <family val="2"/>
          </rPr>
          <t>B6:C11</t>
        </r>
      </text>
    </comment>
    <comment ref="D11" authorId="0" shapeId="0" xr:uid="{00000000-0006-0000-0000-000004000000}">
      <text>
        <r>
          <rPr>
            <sz val="10"/>
            <color rgb="FF000000"/>
            <rFont val="Arial"/>
            <family val="2"/>
          </rPr>
          <t xml:space="preserve">1. Sobre o valor liberado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2. Sobre o valor liberado + valor do saldo portado</t>
        </r>
      </text>
    </comment>
    <comment ref="D12" authorId="0" shapeId="0" xr:uid="{00000000-0006-0000-0000-000005000000}">
      <text>
        <r>
          <rPr>
            <sz val="10"/>
            <color rgb="FF000000"/>
            <rFont val="Arial"/>
            <family val="2"/>
          </rPr>
          <t xml:space="preserve">Desconsiderar despesas com:
</t>
        </r>
        <r>
          <rPr>
            <sz val="10"/>
            <color rgb="FF000000"/>
            <rFont val="Arial"/>
            <family val="2"/>
          </rPr>
          <t xml:space="preserve">- Portabilidade
</t>
        </r>
        <r>
          <rPr>
            <sz val="10"/>
            <color rgb="FF000000"/>
            <rFont val="Arial"/>
            <family val="2"/>
          </rPr>
          <t xml:space="preserve">- Custo de linha
</t>
        </r>
        <r>
          <rPr>
            <sz val="10"/>
            <color rgb="FF000000"/>
            <rFont val="Arial"/>
            <family val="2"/>
          </rPr>
          <t xml:space="preserve">- Despesas marginais
</t>
        </r>
        <r>
          <rPr>
            <sz val="10"/>
            <color rgb="FF000000"/>
            <rFont val="Arial"/>
            <family val="2"/>
          </rPr>
          <t>- OP</t>
        </r>
      </text>
    </comment>
    <comment ref="D14" authorId="0" shapeId="0" xr:uid="{00000000-0006-0000-0000-000006000000}">
      <text>
        <r>
          <rPr>
            <sz val="10"/>
            <color rgb="FF000000"/>
            <rFont val="Arial"/>
            <family val="2"/>
          </rPr>
          <t xml:space="preserve">Aplicável em casos de refinanciamento de portabilidade.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Em caso de refins de vários contratos, considerar todas as RCO que não foram reembolsadas.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<sst xmlns="http://schemas.openxmlformats.org/spreadsheetml/2006/main" count="908" uniqueCount="291">
  <si>
    <t>Dados de entrada (Operação)</t>
  </si>
  <si>
    <t>Dados de entrada (Viabilidade)</t>
  </si>
  <si>
    <t>Custos da operação</t>
  </si>
  <si>
    <t>Resultados finais</t>
  </si>
  <si>
    <t>Viabilidade</t>
  </si>
  <si>
    <t>Valor da PMT</t>
  </si>
  <si>
    <t>Nº PMT liq. Antecipada</t>
  </si>
  <si>
    <t>Custo de OP</t>
  </si>
  <si>
    <t>Valor PMT</t>
  </si>
  <si>
    <t>XVPL</t>
  </si>
  <si>
    <t>Refins (normais)</t>
  </si>
  <si>
    <t>% liq. Antecipada</t>
  </si>
  <si>
    <t>Custos marginais</t>
  </si>
  <si>
    <t>Valor total financiado</t>
  </si>
  <si>
    <t>XTIR</t>
  </si>
  <si>
    <t>Refins (portabilidades)</t>
  </si>
  <si>
    <t>% inadimplência</t>
  </si>
  <si>
    <t>Total desp. marginais</t>
  </si>
  <si>
    <t>Valor IOF</t>
  </si>
  <si>
    <t>Rentabilidade (a.a.)</t>
  </si>
  <si>
    <t>Tarifas</t>
  </si>
  <si>
    <t>CDI Curva (a.a.)</t>
  </si>
  <si>
    <t>Custo de linha fixo (R$)</t>
  </si>
  <si>
    <t>Valor do Seguro</t>
  </si>
  <si>
    <t>Taxa desejada</t>
  </si>
  <si>
    <t>Custo Curva (% CDI)</t>
  </si>
  <si>
    <t>Custo de linha variável (%)</t>
  </si>
  <si>
    <t>Data do contrato</t>
  </si>
  <si>
    <t>Convênio</t>
  </si>
  <si>
    <t>INSS</t>
  </si>
  <si>
    <t>Outras desp. Operac.</t>
  </si>
  <si>
    <t>Soma dos refinanciamentos</t>
  </si>
  <si>
    <t>Primeiro vencimento</t>
  </si>
  <si>
    <t>Banco para saque OP</t>
  </si>
  <si>
    <t>Bancoob</t>
  </si>
  <si>
    <t>Vlr líquido da operação</t>
  </si>
  <si>
    <t>Carência (real)</t>
  </si>
  <si>
    <t>Comissão a vista</t>
  </si>
  <si>
    <t>Prazo</t>
  </si>
  <si>
    <t>Comissão no fluxo</t>
  </si>
  <si>
    <t>Custo operação (a.a.)</t>
  </si>
  <si>
    <t>Vlr liberado ao cliente</t>
  </si>
  <si>
    <t>Alíquota IOF (ao dia)</t>
  </si>
  <si>
    <t>Valor a comissionar</t>
  </si>
  <si>
    <t>TIR (ao ano)</t>
  </si>
  <si>
    <t>Alíquota IOF (adicional)</t>
  </si>
  <si>
    <t>Despesas operacionais</t>
  </si>
  <si>
    <t>TIR (ao mês)</t>
  </si>
  <si>
    <t>Regularização contratos</t>
  </si>
  <si>
    <t>Base cálc. Comissão</t>
  </si>
  <si>
    <t>CET (ao ano)</t>
  </si>
  <si>
    <t>Alíquota Seguro</t>
  </si>
  <si>
    <t>Despesas com RCO</t>
  </si>
  <si>
    <t>Duration (em dias)</t>
  </si>
  <si>
    <t>PMT</t>
  </si>
  <si>
    <t>Impressão</t>
  </si>
  <si>
    <t>Folha</t>
  </si>
  <si>
    <t>Ordem de pagamentos</t>
  </si>
  <si>
    <t>Banco</t>
  </si>
  <si>
    <t>Valor</t>
  </si>
  <si>
    <t>Vale Postal</t>
  </si>
  <si>
    <t>Itaú</t>
  </si>
  <si>
    <t>Nenhum</t>
  </si>
  <si>
    <r>
      <rPr>
        <b/>
        <sz val="11"/>
        <rFont val="Calibri"/>
        <family val="2"/>
        <charset val="1"/>
      </rPr>
      <t>CIP</t>
    </r>
    <r>
      <rPr>
        <b/>
        <vertAlign val="superscript"/>
        <sz val="11"/>
        <rFont val="Calibri"/>
        <family val="2"/>
        <charset val="1"/>
      </rPr>
      <t>1</t>
    </r>
  </si>
  <si>
    <t>Folhas</t>
  </si>
  <si>
    <t>Custo cópias</t>
  </si>
  <si>
    <r>
      <rPr>
        <b/>
        <sz val="11"/>
        <rFont val="Calibri"/>
        <family val="2"/>
        <charset val="1"/>
      </rPr>
      <t>Crivo</t>
    </r>
    <r>
      <rPr>
        <b/>
        <vertAlign val="superscript"/>
        <sz val="11"/>
        <rFont val="Calibri"/>
        <family val="2"/>
        <charset val="1"/>
      </rPr>
      <t>2</t>
    </r>
  </si>
  <si>
    <t>InfoBusca</t>
  </si>
  <si>
    <r>
      <rPr>
        <b/>
        <sz val="11"/>
        <rFont val="Calibri"/>
        <family val="2"/>
        <charset val="1"/>
      </rPr>
      <t>Outros</t>
    </r>
    <r>
      <rPr>
        <b/>
        <vertAlign val="superscript"/>
        <sz val="11"/>
        <rFont val="Calibri"/>
        <family val="2"/>
        <charset val="1"/>
      </rPr>
      <t>3</t>
    </r>
  </si>
  <si>
    <t>Despesas Marginais</t>
  </si>
  <si>
    <t>Custo Linha fixo</t>
  </si>
  <si>
    <t>Custo linha variável</t>
  </si>
  <si>
    <t>Custo Linha Portabilidade</t>
  </si>
  <si>
    <t>Despesas Marginais Portabilidade</t>
  </si>
  <si>
    <t>Aeronáutica</t>
  </si>
  <si>
    <t>Bahia</t>
  </si>
  <si>
    <t>Góias</t>
  </si>
  <si>
    <t>Maranhão</t>
  </si>
  <si>
    <t>Marinha</t>
  </si>
  <si>
    <t>Mato Grosso do Sul</t>
  </si>
  <si>
    <t>Estado do RJ</t>
  </si>
  <si>
    <t>Pref. Belo Horizonte</t>
  </si>
  <si>
    <t>Pref. Caeté</t>
  </si>
  <si>
    <t>Pref. Gov. Valadares</t>
  </si>
  <si>
    <t>Pref. Itaúna</t>
  </si>
  <si>
    <t>Pref. Juiz de Fora</t>
  </si>
  <si>
    <t>Pref. Sete Lagoas</t>
  </si>
  <si>
    <t>Pref. Vespasiano</t>
  </si>
  <si>
    <t>Odilon</t>
  </si>
  <si>
    <t>SIAPE</t>
  </si>
  <si>
    <t>TJMG</t>
  </si>
  <si>
    <t>Histórico</t>
  </si>
  <si>
    <t>1. Sistema Portabilidade (custo por consulta)</t>
  </si>
  <si>
    <t>2. Custo por consulta inclui Refin</t>
  </si>
  <si>
    <t>3. Custo adicional para margem de segurança, caso algum custo não tenha sido considerado.</t>
  </si>
  <si>
    <t>Fluxo estimado / provisório</t>
  </si>
  <si>
    <t>N</t>
  </si>
  <si>
    <t>Data</t>
  </si>
  <si>
    <t>Dias correção</t>
  </si>
  <si>
    <t>Saldo inicial</t>
  </si>
  <si>
    <t>PMT PROVISÓRIA</t>
  </si>
  <si>
    <t>Saldo final</t>
  </si>
  <si>
    <t>Vlr amortizado</t>
  </si>
  <si>
    <t>Dias corridos</t>
  </si>
  <si>
    <t>IOF</t>
  </si>
  <si>
    <t>Cálculo CET</t>
  </si>
  <si>
    <t>Cálculo TIR</t>
  </si>
  <si>
    <t>Viab. PMT</t>
  </si>
  <si>
    <t>Viab. Perda</t>
  </si>
  <si>
    <t>Viab. Comissão</t>
  </si>
  <si>
    <t>Saldo dev. c/ antec.</t>
  </si>
  <si>
    <t>PIS/Cofins</t>
  </si>
  <si>
    <t>Custo de linha</t>
  </si>
  <si>
    <t>Fluxo de caixa</t>
  </si>
  <si>
    <t>Dias Acumulados</t>
  </si>
  <si>
    <t>VP</t>
  </si>
  <si>
    <t>Duration</t>
  </si>
  <si>
    <t>Contrato 1</t>
  </si>
  <si>
    <t>Prazo Remanescente Port</t>
  </si>
  <si>
    <t>Taxa Contrato Port</t>
  </si>
  <si>
    <t>PMT Port</t>
  </si>
  <si>
    <t>PMT Refin da Port</t>
  </si>
  <si>
    <t>Taxa Refin da Port</t>
  </si>
  <si>
    <t>Saldo Devedor Port</t>
  </si>
  <si>
    <t>Troco</t>
  </si>
  <si>
    <t>Contrato 2</t>
  </si>
  <si>
    <t>Taxa Ponderada</t>
  </si>
  <si>
    <t>Fluxo Port</t>
  </si>
  <si>
    <t>Fluxo Refin</t>
  </si>
  <si>
    <t>VP Fluxo Refin</t>
  </si>
  <si>
    <t>Fluxo Consolidado</t>
  </si>
  <si>
    <t>TIR a.a</t>
  </si>
  <si>
    <t>TIR a.m</t>
  </si>
  <si>
    <t>Resultados Estimados*</t>
  </si>
  <si>
    <t>Valores Entrada</t>
  </si>
  <si>
    <t>Resultados Saída</t>
  </si>
  <si>
    <t>Taxa Ponderada:</t>
  </si>
  <si>
    <t>Troco:</t>
  </si>
  <si>
    <t>Produto</t>
  </si>
  <si>
    <t>Refin da Port</t>
  </si>
  <si>
    <t>A carência impacta o cálculo da taxa ponderada.</t>
  </si>
  <si>
    <t>Refin de Carteira</t>
  </si>
  <si>
    <t>Convênios</t>
  </si>
  <si>
    <t>Pref. Contagem</t>
  </si>
  <si>
    <t>Tx. Ponderada</t>
  </si>
  <si>
    <t>Tx. Comparativa</t>
  </si>
  <si>
    <t>Parecer</t>
  </si>
  <si>
    <t>Taxa Máxima</t>
  </si>
  <si>
    <t>Tx. Máxima</t>
  </si>
  <si>
    <t>DIF PMT</t>
  </si>
  <si>
    <t>Pref. SP</t>
  </si>
  <si>
    <t>Pref. Goiânia</t>
  </si>
  <si>
    <t>Grupo II Prefeituras</t>
  </si>
  <si>
    <t>Passo 01</t>
  </si>
  <si>
    <t>Taxa do Seguro</t>
  </si>
  <si>
    <t>Valor Solicitado com Seguro</t>
  </si>
  <si>
    <t>Prazo Fixado</t>
  </si>
  <si>
    <t>Passo 02</t>
  </si>
  <si>
    <t>Valor Liberado</t>
  </si>
  <si>
    <t>Valor Limite do Seguro</t>
  </si>
  <si>
    <t>Limite respeitado?</t>
  </si>
  <si>
    <t>Passo 03</t>
  </si>
  <si>
    <t>Prazo Fixo</t>
  </si>
  <si>
    <t>Valor Liberado com Seguro</t>
  </si>
  <si>
    <t>Passo 04</t>
  </si>
  <si>
    <t>Valor Líquido sem seguro</t>
  </si>
  <si>
    <t>Limite de Comprometimento</t>
  </si>
  <si>
    <t>Alíquota do Seguro</t>
  </si>
  <si>
    <t>Seguro Estimado*</t>
  </si>
  <si>
    <t>Com Seguro?</t>
  </si>
  <si>
    <t>Valor total financiado - tx. ponderada</t>
  </si>
  <si>
    <t>Contrato 3</t>
  </si>
  <si>
    <t>Contrato 4</t>
  </si>
  <si>
    <t>Prazo Remanescente</t>
  </si>
  <si>
    <t>Data do Contrato</t>
  </si>
  <si>
    <t>Primeiro Vencimento Estimado</t>
  </si>
  <si>
    <t>S/ Seguro</t>
  </si>
  <si>
    <t>C/ Seguro</t>
  </si>
  <si>
    <t>Tabela Selecionada</t>
  </si>
  <si>
    <t>PMT Portabilidade</t>
  </si>
  <si>
    <t>Saldo Contrato portado</t>
  </si>
  <si>
    <t>Bombeiros MG</t>
  </si>
  <si>
    <t>Def. Pública MG</t>
  </si>
  <si>
    <t>Estado BA</t>
  </si>
  <si>
    <t>Estado MS</t>
  </si>
  <si>
    <t>Estado SC</t>
  </si>
  <si>
    <t>Grupo I Governos</t>
  </si>
  <si>
    <t>IPSEMG</t>
  </si>
  <si>
    <t>IPSM</t>
  </si>
  <si>
    <t>PMMG</t>
  </si>
  <si>
    <t>SEPLAG MG</t>
  </si>
  <si>
    <t>Tribunais Estaduais</t>
  </si>
  <si>
    <t>Taxa Ponderada Mín - Refin da Port</t>
  </si>
  <si>
    <t>Comissão</t>
  </si>
  <si>
    <t>Tabela</t>
  </si>
  <si>
    <t>Tabela 1</t>
  </si>
  <si>
    <t>Tabela 2</t>
  </si>
  <si>
    <t>Tabela 3</t>
  </si>
  <si>
    <t>Tabela 4</t>
  </si>
  <si>
    <t>Tabela 5</t>
  </si>
  <si>
    <t>Tabela 6</t>
  </si>
  <si>
    <t>Taxa</t>
  </si>
  <si>
    <t>De x Para</t>
  </si>
  <si>
    <t>Estado MG</t>
  </si>
  <si>
    <t>SPPrev</t>
  </si>
  <si>
    <t>Órgão</t>
  </si>
  <si>
    <t>Situação</t>
  </si>
  <si>
    <t>Estado de Minas Gerais</t>
  </si>
  <si>
    <t>Bombeiros</t>
  </si>
  <si>
    <t>Ativo</t>
  </si>
  <si>
    <t>Defensoria Publica MG</t>
  </si>
  <si>
    <t>SEPLAG</t>
  </si>
  <si>
    <t>Servidor Federal (SIAPE)</t>
  </si>
  <si>
    <t>Pref Belo Horizonte</t>
  </si>
  <si>
    <t>Pref de Belo Horizonte</t>
  </si>
  <si>
    <t>Estado de Sao Paulo</t>
  </si>
  <si>
    <t>Estado de Sao Paulo - SEFAZ</t>
  </si>
  <si>
    <t>CPA PM do Estado de Sao Paulo - PMESP</t>
  </si>
  <si>
    <t>Sao Paulo Previdencia</t>
  </si>
  <si>
    <t>Ministerio Publico do Estado de Sao Paulo - MPESP</t>
  </si>
  <si>
    <t>Tribunal de Justiça Militar do Estado de Sao Paulo - TJMSP</t>
  </si>
  <si>
    <t>Tribunal de Contas do Estado de São Paulo -TCESP</t>
  </si>
  <si>
    <t>Estado da Bahia</t>
  </si>
  <si>
    <t xml:space="preserve">Bahia Secretaria da ADM </t>
  </si>
  <si>
    <t>Marinha do Brasil</t>
  </si>
  <si>
    <t>Estado do Mato Grosso do Sul</t>
  </si>
  <si>
    <t>Pref Salvador</t>
  </si>
  <si>
    <t xml:space="preserve">Pref de Salvador </t>
  </si>
  <si>
    <t>Pref Sao Paulo</t>
  </si>
  <si>
    <t>Pref de Sao Paulo</t>
  </si>
  <si>
    <t>IPREM Pensionistas</t>
  </si>
  <si>
    <t>IPREM Aposentados</t>
  </si>
  <si>
    <t>Estado de Goias</t>
  </si>
  <si>
    <t>Força Aérea Brasileira Aeronáutica</t>
  </si>
  <si>
    <t>Força Aérea Brasileira</t>
  </si>
  <si>
    <t>Pref de Contagem</t>
  </si>
  <si>
    <t>Exercito Brasileiro</t>
  </si>
  <si>
    <t>Ministerio Publico do Estado de Minas Gerais</t>
  </si>
  <si>
    <t>TRE - MG</t>
  </si>
  <si>
    <t>Universidade de Sao Paulo - USP</t>
  </si>
  <si>
    <t>USP -SP</t>
  </si>
  <si>
    <t>TRE - SP</t>
  </si>
  <si>
    <t>TRE-SP</t>
  </si>
  <si>
    <t>TCE- Tribunal de Contas do Estado de Minas Gerais</t>
  </si>
  <si>
    <t xml:space="preserve">TCE- Tribunal de Contas do Estado de Minas Gerais							</t>
  </si>
  <si>
    <t>SJMG - Seção Judiciária de Minas Gerais - MG</t>
  </si>
  <si>
    <t>TRF6 - Tribunal Regional Federal da 6ª Região</t>
  </si>
  <si>
    <t>TRT-MG - Tribunal Regional do Trabalho de Minas Gerais</t>
  </si>
  <si>
    <t>STF - Supremo Tribunal Federal</t>
  </si>
  <si>
    <t>Estado de Santa Catarina</t>
  </si>
  <si>
    <t>Governo do Estado do Espirito Santo</t>
  </si>
  <si>
    <t>TCU - Tribunal de Contas da União</t>
  </si>
  <si>
    <t>Prefeitura de Vitoria</t>
  </si>
  <si>
    <t>TJSP - Tribunal de Justiça do Estado de Sao Paulo</t>
  </si>
  <si>
    <t>TJBA - Tribunal de Justiça do Estado da Bahia</t>
  </si>
  <si>
    <t>Prefeitura de Praia Grande</t>
  </si>
  <si>
    <t>Prefeitura de Santos</t>
  </si>
  <si>
    <t>Prefeitura de Betim</t>
  </si>
  <si>
    <t xml:space="preserve">Prefeitura de Betim </t>
  </si>
  <si>
    <t xml:space="preserve">Prefeitura de Goiania </t>
  </si>
  <si>
    <t>Prefeitura de Goiânia</t>
  </si>
  <si>
    <t>Prefeitura de Campo Grande</t>
  </si>
  <si>
    <t>IPAMV - Instituto  de Previdência Pref. Vitória</t>
  </si>
  <si>
    <t>IPM - Instituto de Previdencia de Ribeirao Preto</t>
  </si>
  <si>
    <t>Prefeitura de Florianopolis</t>
  </si>
  <si>
    <t>Prefeitura de Guarulhos</t>
  </si>
  <si>
    <t>Municipio de Guarulhos</t>
  </si>
  <si>
    <t>Fundação Municipal de Educação - FME</t>
  </si>
  <si>
    <t>Prefeitura de Sorocaba</t>
  </si>
  <si>
    <t>IMPCG - Instituto Municipal de Previdência de Campo Grande</t>
  </si>
  <si>
    <t>TRF1 Tribunal Regional Federal da 1ª Região</t>
  </si>
  <si>
    <t>TJMT - Tribunal De Justiça Do Estado De Mato Grosso</t>
  </si>
  <si>
    <t>Prefeitura Municipal de Barueri</t>
  </si>
  <si>
    <t>TSE - Tribunal Superior Eleitoral</t>
  </si>
  <si>
    <t>TRT SP 2ª Regiao - Tribunal Regional do Trabalho</t>
  </si>
  <si>
    <t>TST - Tribunal Superior do Trabalho</t>
  </si>
  <si>
    <t>Ministerio Publico do Estado de Mato Grosso do Sul</t>
  </si>
  <si>
    <t>MINISTERIO PÚBLICO DO ESTADO DE MATO GROSSO DO SUL</t>
  </si>
  <si>
    <t>Dia de Vencimento</t>
  </si>
  <si>
    <t>Siape</t>
  </si>
  <si>
    <t>Exército</t>
  </si>
  <si>
    <t>Tribunais Federais</t>
  </si>
  <si>
    <t>*Se PMT Refin for igual à da Portabilidade, repetir o valor na célula acima</t>
  </si>
  <si>
    <t>PMT Refin*</t>
  </si>
  <si>
    <t>Taxa s/ seguro</t>
  </si>
  <si>
    <t>Taxa c/ seguro</t>
  </si>
  <si>
    <t>Não</t>
  </si>
  <si>
    <t>-</t>
  </si>
  <si>
    <t>Prazo Refin (meses)</t>
  </si>
  <si>
    <t>Taxa Refin (a.m)</t>
  </si>
  <si>
    <t>Prazo Remanescente (meses)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</si>
</sst>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(* #,##0.00_);_(* \(#,##0.00\);_(* \-??_);_(@_)"/>
    <numFmt numFmtId="165" formatCode="d/m/yyyy"/>
    <numFmt numFmtId="166" formatCode="0.0000%"/>
    <numFmt numFmtId="167" formatCode="0.000%"/>
    <numFmt numFmtId="168" formatCode="0.000000%"/>
    <numFmt numFmtId="169" formatCode="_-[$R$-416]\ * #,##0.00_-;\-[$R$-416]\ * #,##0.00_-;_-[$R$-416]\ * \-??_-;_-@_-"/>
    <numFmt numFmtId="170" formatCode="_-* #,##0.00_-;\-* #,##0.00_-;_-* \-??_-;_-@_-"/>
    <numFmt numFmtId="171" formatCode="0.0%"/>
    <numFmt numFmtId="172" formatCode="_-* #,##0_-;\-* #,##0_-;_-* \-??_-;_-@_-"/>
    <numFmt numFmtId="173" formatCode="0.00000%"/>
  </numFmts>
  <fonts count="43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b/>
      <vertAlign val="superscript"/>
      <sz val="11"/>
      <name val="Calibri"/>
      <family val="2"/>
      <charset val="1"/>
    </font>
    <font>
      <b/>
      <sz val="9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Citrina Regular"/>
    </font>
    <font>
      <b/>
      <sz val="14"/>
      <color theme="0"/>
      <name val="Citrina Regular"/>
    </font>
    <font>
      <sz val="11"/>
      <color theme="3"/>
      <name val="Calibri"/>
      <family val="2"/>
      <scheme val="minor"/>
    </font>
    <font>
      <sz val="12"/>
      <color theme="1"/>
      <name val="Citrina Regular"/>
    </font>
    <font>
      <sz val="12"/>
      <color theme="8"/>
      <name val="Citrina Regular"/>
    </font>
    <font>
      <sz val="12"/>
      <name val="Citrina Regular"/>
    </font>
    <font>
      <sz val="11"/>
      <color theme="1"/>
      <name val="Citrina Regular"/>
    </font>
    <font>
      <i/>
      <sz val="12"/>
      <name val="Citrina Regular"/>
    </font>
    <font>
      <sz val="10"/>
      <color rgb="FF000000"/>
      <name val="Calibri"/>
      <family val="2"/>
    </font>
    <font>
      <b/>
      <sz val="12"/>
      <color theme="1"/>
      <name val="Citrina Regular"/>
    </font>
    <font>
      <b/>
      <sz val="12"/>
      <color theme="0"/>
      <name val="Citrina Regular"/>
    </font>
    <font>
      <b/>
      <u/>
      <sz val="14"/>
      <color theme="1"/>
      <name val="Citrina Regular"/>
    </font>
    <font>
      <b/>
      <sz val="11"/>
      <color theme="1"/>
      <name val="Calibri"/>
      <family val="2"/>
    </font>
    <font>
      <b/>
      <sz val="11"/>
      <color theme="5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0"/>
      <name val="Citrina Regular"/>
    </font>
    <font>
      <b/>
      <u/>
      <sz val="14"/>
      <color theme="5"/>
      <name val="Citrina Regular"/>
    </font>
    <font>
      <sz val="11"/>
      <color theme="0"/>
      <name val="Citrina Regular"/>
    </font>
    <font>
      <sz val="11"/>
      <color rgb="FFFF0000"/>
      <name val="Calibri"/>
      <family val="2"/>
      <charset val="1"/>
    </font>
    <font>
      <b/>
      <sz val="12"/>
      <color theme="4" tint="-0.499984740745262"/>
      <name val="Citrina Regular"/>
    </font>
    <font>
      <sz val="11"/>
      <color theme="1"/>
      <name val="Calibri"/>
      <family val="2"/>
      <scheme val="minor"/>
    </font>
    <font>
      <b/>
      <sz val="14"/>
      <color theme="1"/>
      <name val="Citrina Regular"/>
    </font>
    <font>
      <sz val="14"/>
      <color theme="1"/>
      <name val="Citrina Regular"/>
    </font>
    <font>
      <b/>
      <sz val="16"/>
      <color theme="1"/>
      <name val="Citrina Regular"/>
    </font>
    <font>
      <sz val="16"/>
      <color theme="1"/>
      <name val="Citrina Regular"/>
    </font>
    <font>
      <b/>
      <sz val="10"/>
      <color theme="1"/>
      <name val="Citrina Regular"/>
    </font>
    <font>
      <b/>
      <i/>
      <sz val="11"/>
      <color rgb="FFF2F2F2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0" tint="-0.14999847407452621"/>
        <bgColor rgb="FFD6DCE5"/>
      </patternFill>
    </fill>
    <fill>
      <patternFill patternType="solid">
        <fgColor theme="0" tint="-0.499984740745262"/>
        <bgColor rgb="FF7F7F7F"/>
      </patternFill>
    </fill>
    <fill>
      <patternFill patternType="solid">
        <fgColor theme="7" tint="0.39988402966399123"/>
        <bgColor rgb="FFFFFF99"/>
      </patternFill>
    </fill>
    <fill>
      <patternFill patternType="solid">
        <fgColor theme="4" tint="0.59987182226020086"/>
        <bgColor rgb="FFD6DCE5"/>
      </patternFill>
    </fill>
    <fill>
      <patternFill patternType="solid">
        <fgColor rgb="FFFF0000"/>
        <bgColor rgb="FF993300"/>
      </patternFill>
    </fill>
    <fill>
      <patternFill patternType="solid">
        <fgColor theme="3" tint="0.79989013336588644"/>
        <bgColor rgb="FFD9D9D9"/>
      </patternFill>
    </fill>
    <fill>
      <patternFill patternType="solid">
        <fgColor theme="9" tint="-0.499984740745262"/>
        <bgColor rgb="FF333300"/>
      </patternFill>
    </fill>
    <fill>
      <patternFill patternType="solid">
        <fgColor theme="1" tint="0.49989318521683401"/>
        <bgColor rgb="FF808080"/>
      </patternFill>
    </fill>
    <fill>
      <patternFill patternType="solid">
        <fgColor rgb="FF92D050"/>
        <bgColor rgb="FFBDD7EE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B7100"/>
        <bgColor indexed="64"/>
      </patternFill>
    </fill>
    <fill>
      <patternFill patternType="solid">
        <fgColor rgb="FF72370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6">
    <xf numFmtId="0" fontId="0" fillId="0" borderId="0"/>
    <xf numFmtId="170" fontId="8" fillId="0" borderId="0" applyBorder="0" applyProtection="0"/>
    <xf numFmtId="9" fontId="8" fillId="0" borderId="0" applyBorder="0" applyProtection="0"/>
    <xf numFmtId="164" fontId="8" fillId="0" borderId="0" applyBorder="0" applyProtection="0"/>
    <xf numFmtId="44" fontId="8" fillId="0" borderId="0" applyFont="0" applyFill="0" applyBorder="0" applyAlignment="0" applyProtection="0"/>
    <xf numFmtId="0" fontId="36" fillId="0" borderId="0"/>
  </cellStyleXfs>
  <cellXfs count="223">
    <xf numFmtId="0" fontId="0" fillId="0" borderId="0" xfId="0"/>
    <xf numFmtId="0" fontId="4" fillId="2" borderId="1" xfId="0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4" fontId="0" fillId="4" borderId="0" xfId="0" applyNumberFormat="1" applyFill="1" applyProtection="1">
      <protection locked="0"/>
    </xf>
    <xf numFmtId="4" fontId="0" fillId="3" borderId="0" xfId="0" applyNumberFormat="1" applyFill="1"/>
    <xf numFmtId="165" fontId="0" fillId="4" borderId="0" xfId="0" applyNumberFormat="1" applyFill="1"/>
    <xf numFmtId="0" fontId="0" fillId="4" borderId="0" xfId="0" applyFill="1" applyProtection="1">
      <protection locked="0"/>
    </xf>
    <xf numFmtId="4" fontId="0" fillId="0" borderId="0" xfId="0" applyNumberFormat="1"/>
    <xf numFmtId="0" fontId="1" fillId="5" borderId="0" xfId="0" applyFont="1" applyFill="1"/>
    <xf numFmtId="2" fontId="1" fillId="5" borderId="0" xfId="0" applyNumberFormat="1" applyFont="1" applyFill="1"/>
    <xf numFmtId="10" fontId="0" fillId="4" borderId="0" xfId="0" applyNumberFormat="1" applyFill="1" applyProtection="1">
      <protection locked="0"/>
    </xf>
    <xf numFmtId="4" fontId="1" fillId="5" borderId="0" xfId="0" applyNumberFormat="1" applyFont="1" applyFill="1"/>
    <xf numFmtId="10" fontId="1" fillId="5" borderId="0" xfId="2" applyNumberFormat="1" applyFont="1" applyFill="1" applyBorder="1" applyProtection="1"/>
    <xf numFmtId="10" fontId="0" fillId="3" borderId="0" xfId="0" applyNumberFormat="1" applyFill="1"/>
    <xf numFmtId="165" fontId="0" fillId="3" borderId="0" xfId="0" applyNumberFormat="1" applyFill="1"/>
    <xf numFmtId="4" fontId="0" fillId="6" borderId="0" xfId="0" applyNumberFormat="1" applyFill="1"/>
    <xf numFmtId="0" fontId="2" fillId="5" borderId="0" xfId="0" applyFont="1" applyFill="1"/>
    <xf numFmtId="0" fontId="1" fillId="0" borderId="0" xfId="0" applyFont="1"/>
    <xf numFmtId="10" fontId="8" fillId="6" borderId="0" xfId="2" applyNumberFormat="1" applyFill="1" applyBorder="1" applyProtection="1"/>
    <xf numFmtId="0" fontId="0" fillId="5" borderId="0" xfId="0" applyFill="1"/>
    <xf numFmtId="4" fontId="0" fillId="5" borderId="0" xfId="0" applyNumberFormat="1" applyFill="1"/>
    <xf numFmtId="165" fontId="0" fillId="4" borderId="0" xfId="0" applyNumberFormat="1" applyFill="1" applyProtection="1">
      <protection locked="0"/>
    </xf>
    <xf numFmtId="0" fontId="0" fillId="4" borderId="0" xfId="0" applyFill="1" applyAlignment="1" applyProtection="1">
      <alignment horizontal="right"/>
      <protection locked="0"/>
    </xf>
    <xf numFmtId="2" fontId="0" fillId="0" borderId="0" xfId="0" applyNumberFormat="1"/>
    <xf numFmtId="10" fontId="0" fillId="0" borderId="0" xfId="0" applyNumberFormat="1"/>
    <xf numFmtId="166" fontId="0" fillId="3" borderId="0" xfId="0" applyNumberFormat="1" applyFill="1"/>
    <xf numFmtId="2" fontId="0" fillId="5" borderId="0" xfId="0" applyNumberFormat="1" applyFill="1"/>
    <xf numFmtId="4" fontId="3" fillId="0" borderId="0" xfId="0" applyNumberFormat="1" applyFont="1"/>
    <xf numFmtId="167" fontId="8" fillId="0" borderId="0" xfId="2" applyNumberFormat="1" applyBorder="1" applyProtection="1"/>
    <xf numFmtId="168" fontId="0" fillId="4" borderId="0" xfId="0" applyNumberFormat="1" applyFill="1" applyProtection="1">
      <protection locked="0"/>
    </xf>
    <xf numFmtId="0" fontId="0" fillId="6" borderId="0" xfId="0" applyFill="1"/>
    <xf numFmtId="2" fontId="0" fillId="6" borderId="0" xfId="0" applyNumberFormat="1" applyFill="1"/>
    <xf numFmtId="166" fontId="1" fillId="5" borderId="0" xfId="2" applyNumberFormat="1" applyFont="1" applyFill="1" applyBorder="1" applyProtection="1"/>
    <xf numFmtId="2" fontId="0" fillId="4" borderId="0" xfId="0" applyNumberFormat="1" applyFill="1" applyProtection="1">
      <protection locked="0"/>
    </xf>
    <xf numFmtId="166" fontId="8" fillId="5" borderId="0" xfId="2" applyNumberFormat="1" applyFill="1" applyBorder="1" applyProtection="1"/>
    <xf numFmtId="4" fontId="0" fillId="4" borderId="0" xfId="0" applyNumberFormat="1" applyFill="1"/>
    <xf numFmtId="166" fontId="0" fillId="4" borderId="0" xfId="0" applyNumberFormat="1" applyFill="1" applyProtection="1">
      <protection locked="0"/>
    </xf>
    <xf numFmtId="2" fontId="0" fillId="6" borderId="0" xfId="0" applyNumberFormat="1" applyFill="1" applyProtection="1">
      <protection locked="0"/>
    </xf>
    <xf numFmtId="1" fontId="0" fillId="4" borderId="0" xfId="0" applyNumberFormat="1" applyFill="1" applyProtection="1">
      <protection locked="0"/>
    </xf>
    <xf numFmtId="2" fontId="0" fillId="7" borderId="1" xfId="0" applyNumberFormat="1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10" fontId="4" fillId="0" borderId="0" xfId="2" applyNumberFormat="1" applyFont="1" applyBorder="1" applyProtection="1"/>
    <xf numFmtId="0" fontId="4" fillId="0" borderId="1" xfId="0" applyFont="1" applyBorder="1"/>
    <xf numFmtId="169" fontId="4" fillId="0" borderId="1" xfId="3" applyNumberFormat="1" applyFont="1" applyBorder="1" applyAlignment="1" applyProtection="1">
      <alignment horizontal="center"/>
    </xf>
    <xf numFmtId="169" fontId="4" fillId="0" borderId="0" xfId="3" applyNumberFormat="1" applyFont="1" applyBorder="1" applyAlignment="1" applyProtection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right"/>
    </xf>
    <xf numFmtId="2" fontId="4" fillId="0" borderId="1" xfId="0" applyNumberFormat="1" applyFont="1" applyBorder="1"/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7" fillId="8" borderId="1" xfId="0" applyFont="1" applyFill="1" applyBorder="1" applyAlignment="1">
      <alignment horizontal="center" vertical="center" wrapText="1"/>
    </xf>
    <xf numFmtId="10" fontId="7" fillId="8" borderId="1" xfId="2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left"/>
    </xf>
    <xf numFmtId="4" fontId="4" fillId="0" borderId="1" xfId="3" applyNumberFormat="1" applyFont="1" applyBorder="1" applyAlignment="1" applyProtection="1">
      <alignment horizontal="right"/>
    </xf>
    <xf numFmtId="3" fontId="4" fillId="0" borderId="1" xfId="3" applyNumberFormat="1" applyFont="1" applyBorder="1" applyAlignment="1" applyProtection="1">
      <alignment horizontal="right"/>
    </xf>
    <xf numFmtId="3" fontId="4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10" fontId="4" fillId="0" borderId="1" xfId="2" applyNumberFormat="1" applyFont="1" applyBorder="1" applyAlignment="1" applyProtection="1">
      <alignment horizontal="right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right"/>
    </xf>
    <xf numFmtId="10" fontId="4" fillId="2" borderId="1" xfId="2" applyNumberFormat="1" applyFont="1" applyFill="1" applyBorder="1" applyAlignment="1" applyProtection="1">
      <alignment horizontal="right"/>
    </xf>
    <xf numFmtId="4" fontId="4" fillId="0" borderId="0" xfId="0" applyNumberFormat="1" applyFont="1"/>
    <xf numFmtId="0" fontId="1" fillId="9" borderId="0" xfId="0" applyFont="1" applyFill="1"/>
    <xf numFmtId="0" fontId="1" fillId="10" borderId="0" xfId="0" applyFont="1" applyFill="1"/>
    <xf numFmtId="170" fontId="0" fillId="0" borderId="0" xfId="0" applyNumberFormat="1"/>
    <xf numFmtId="0" fontId="1" fillId="2" borderId="1" xfId="0" applyFont="1" applyFill="1" applyBorder="1" applyAlignment="1">
      <alignment horizontal="right"/>
    </xf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2" fontId="0" fillId="0" borderId="1" xfId="0" applyNumberFormat="1" applyBorder="1"/>
    <xf numFmtId="4" fontId="0" fillId="6" borderId="1" xfId="0" applyNumberFormat="1" applyFill="1" applyBorder="1"/>
    <xf numFmtId="3" fontId="0" fillId="0" borderId="0" xfId="0" applyNumberFormat="1"/>
    <xf numFmtId="170" fontId="8" fillId="0" borderId="1" xfId="1" applyBorder="1" applyProtection="1"/>
    <xf numFmtId="0" fontId="0" fillId="11" borderId="0" xfId="0" applyFill="1"/>
    <xf numFmtId="4" fontId="9" fillId="0" borderId="0" xfId="0" applyNumberFormat="1" applyFont="1"/>
    <xf numFmtId="8" fontId="0" fillId="0" borderId="0" xfId="0" applyNumberFormat="1"/>
    <xf numFmtId="6" fontId="0" fillId="0" borderId="0" xfId="0" applyNumberFormat="1"/>
    <xf numFmtId="4" fontId="10" fillId="4" borderId="0" xfId="0" applyNumberFormat="1" applyFont="1" applyFill="1" applyProtection="1">
      <protection locked="0"/>
    </xf>
    <xf numFmtId="0" fontId="0" fillId="0" borderId="0" xfId="0" applyAlignment="1">
      <alignment horizontal="center"/>
    </xf>
    <xf numFmtId="0" fontId="12" fillId="12" borderId="0" xfId="0" applyFont="1" applyFill="1" applyAlignment="1">
      <alignment horizontal="center"/>
    </xf>
    <xf numFmtId="0" fontId="12" fillId="12" borderId="2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3" xfId="0" applyNumberFormat="1" applyBorder="1"/>
    <xf numFmtId="166" fontId="0" fillId="0" borderId="0" xfId="0" applyNumberFormat="1"/>
    <xf numFmtId="10" fontId="0" fillId="0" borderId="0" xfId="2" applyNumberFormat="1" applyFont="1"/>
    <xf numFmtId="166" fontId="0" fillId="0" borderId="0" xfId="2" applyNumberFormat="1" applyFont="1"/>
    <xf numFmtId="3" fontId="0" fillId="0" borderId="4" xfId="0" applyNumberFormat="1" applyBorder="1"/>
    <xf numFmtId="167" fontId="0" fillId="0" borderId="0" xfId="2" applyNumberFormat="1" applyFont="1"/>
    <xf numFmtId="171" fontId="8" fillId="0" borderId="0" xfId="2" applyNumberFormat="1"/>
    <xf numFmtId="10" fontId="8" fillId="0" borderId="0" xfId="2" applyNumberFormat="1"/>
    <xf numFmtId="170" fontId="8" fillId="0" borderId="0" xfId="1"/>
    <xf numFmtId="167" fontId="8" fillId="0" borderId="0" xfId="2" applyNumberFormat="1"/>
    <xf numFmtId="0" fontId="0" fillId="0" borderId="0" xfId="0" applyProtection="1">
      <protection hidden="1"/>
    </xf>
    <xf numFmtId="0" fontId="0" fillId="0" borderId="0" xfId="0" applyAlignment="1" applyProtection="1">
      <alignment vertical="center"/>
      <protection hidden="1"/>
    </xf>
    <xf numFmtId="0" fontId="0" fillId="14" borderId="0" xfId="0" applyFill="1" applyAlignment="1" applyProtection="1">
      <alignment vertical="center"/>
      <protection hidden="1"/>
    </xf>
    <xf numFmtId="0" fontId="0" fillId="14" borderId="0" xfId="0" applyFill="1" applyProtection="1">
      <protection hidden="1"/>
    </xf>
    <xf numFmtId="0" fontId="16" fillId="14" borderId="0" xfId="0" applyFont="1" applyFill="1" applyProtection="1">
      <protection hidden="1"/>
    </xf>
    <xf numFmtId="0" fontId="17" fillId="14" borderId="0" xfId="0" applyFont="1" applyFill="1" applyAlignment="1" applyProtection="1">
      <alignment vertical="center"/>
      <protection hidden="1"/>
    </xf>
    <xf numFmtId="170" fontId="16" fillId="14" borderId="0" xfId="1" applyFont="1" applyFill="1" applyAlignment="1" applyProtection="1">
      <alignment vertical="center"/>
      <protection hidden="1"/>
    </xf>
    <xf numFmtId="0" fontId="17" fillId="14" borderId="5" xfId="0" applyFont="1" applyFill="1" applyBorder="1" applyAlignment="1" applyProtection="1">
      <alignment vertical="center"/>
      <protection hidden="1"/>
    </xf>
    <xf numFmtId="10" fontId="16" fillId="14" borderId="0" xfId="2" applyNumberFormat="1" applyFont="1" applyFill="1" applyAlignment="1" applyProtection="1">
      <alignment vertical="center"/>
      <protection hidden="1"/>
    </xf>
    <xf numFmtId="14" fontId="16" fillId="14" borderId="0" xfId="0" applyNumberFormat="1" applyFont="1" applyFill="1" applyAlignment="1" applyProtection="1">
      <alignment vertical="center"/>
      <protection hidden="1"/>
    </xf>
    <xf numFmtId="38" fontId="19" fillId="14" borderId="5" xfId="1" applyNumberFormat="1" applyFont="1" applyFill="1" applyBorder="1" applyAlignment="1" applyProtection="1">
      <alignment vertical="center"/>
      <protection hidden="1"/>
    </xf>
    <xf numFmtId="0" fontId="16" fillId="14" borderId="0" xfId="0" applyFont="1" applyFill="1" applyAlignment="1" applyProtection="1">
      <alignment vertical="center"/>
      <protection hidden="1"/>
    </xf>
    <xf numFmtId="14" fontId="19" fillId="14" borderId="0" xfId="0" applyNumberFormat="1" applyFont="1" applyFill="1" applyAlignment="1" applyProtection="1">
      <alignment vertical="center"/>
      <protection hidden="1"/>
    </xf>
    <xf numFmtId="0" fontId="3" fillId="17" borderId="0" xfId="0" applyFont="1" applyFill="1"/>
    <xf numFmtId="10" fontId="3" fillId="17" borderId="0" xfId="0" applyNumberFormat="1" applyFont="1" applyFill="1"/>
    <xf numFmtId="2" fontId="3" fillId="17" borderId="0" xfId="0" applyNumberFormat="1" applyFont="1" applyFill="1"/>
    <xf numFmtId="0" fontId="23" fillId="14" borderId="5" xfId="0" applyFont="1" applyFill="1" applyBorder="1" applyAlignment="1" applyProtection="1">
      <alignment horizontal="left" vertical="center"/>
      <protection hidden="1"/>
    </xf>
    <xf numFmtId="170" fontId="18" fillId="14" borderId="5" xfId="1" applyFont="1" applyFill="1" applyBorder="1" applyAlignment="1" applyProtection="1">
      <alignment horizontal="right" vertical="center"/>
      <protection hidden="1"/>
    </xf>
    <xf numFmtId="172" fontId="18" fillId="13" borderId="5" xfId="1" applyNumberFormat="1" applyFont="1" applyFill="1" applyBorder="1" applyAlignment="1" applyProtection="1">
      <alignment horizontal="right" vertical="center"/>
      <protection locked="0"/>
    </xf>
    <xf numFmtId="0" fontId="14" fillId="0" borderId="0" xfId="1" applyNumberFormat="1" applyFont="1" applyAlignment="1" applyProtection="1">
      <alignment horizontal="center" vertical="center"/>
      <protection hidden="1"/>
    </xf>
    <xf numFmtId="6" fontId="24" fillId="18" borderId="5" xfId="1" applyNumberFormat="1" applyFont="1" applyFill="1" applyBorder="1" applyAlignment="1" applyProtection="1">
      <alignment horizontal="right" vertical="center"/>
      <protection hidden="1"/>
    </xf>
    <xf numFmtId="165" fontId="0" fillId="0" borderId="0" xfId="0" applyNumberFormat="1"/>
    <xf numFmtId="167" fontId="10" fillId="20" borderId="0" xfId="0" applyNumberFormat="1" applyFont="1" applyFill="1" applyProtection="1">
      <protection locked="0"/>
    </xf>
    <xf numFmtId="0" fontId="3" fillId="20" borderId="0" xfId="0" applyFont="1" applyFill="1" applyProtection="1">
      <protection locked="0"/>
    </xf>
    <xf numFmtId="10" fontId="0" fillId="0" borderId="0" xfId="0" applyNumberFormat="1" applyAlignment="1">
      <alignment horizontal="center"/>
    </xf>
    <xf numFmtId="0" fontId="0" fillId="21" borderId="0" xfId="0" applyFill="1" applyAlignment="1">
      <alignment horizontal="center"/>
    </xf>
    <xf numFmtId="10" fontId="8" fillId="21" borderId="0" xfId="2" applyNumberFormat="1" applyFill="1" applyAlignment="1">
      <alignment horizontal="center"/>
    </xf>
    <xf numFmtId="0" fontId="26" fillId="21" borderId="0" xfId="0" applyFont="1" applyFill="1" applyAlignment="1">
      <alignment horizontal="center"/>
    </xf>
    <xf numFmtId="0" fontId="26" fillId="0" borderId="7" xfId="0" applyFont="1" applyBorder="1" applyAlignment="1">
      <alignment horizontal="center"/>
    </xf>
    <xf numFmtId="0" fontId="26" fillId="0" borderId="7" xfId="0" applyFont="1" applyBorder="1"/>
    <xf numFmtId="0" fontId="27" fillId="0" borderId="0" xfId="0" applyFont="1" applyAlignment="1">
      <alignment horizontal="left"/>
    </xf>
    <xf numFmtId="0" fontId="0" fillId="0" borderId="0" xfId="0" applyAlignment="1">
      <alignment horizontal="right"/>
    </xf>
    <xf numFmtId="0" fontId="12" fillId="0" borderId="8" xfId="0" applyFont="1" applyBorder="1" applyAlignment="1">
      <alignment horizontal="left"/>
    </xf>
    <xf numFmtId="171" fontId="0" fillId="22" borderId="9" xfId="2" applyNumberFormat="1" applyFont="1" applyFill="1" applyBorder="1" applyAlignment="1">
      <alignment horizontal="right"/>
    </xf>
    <xf numFmtId="0" fontId="12" fillId="0" borderId="10" xfId="0" applyFont="1" applyBorder="1" applyAlignment="1">
      <alignment horizontal="left"/>
    </xf>
    <xf numFmtId="44" fontId="0" fillId="0" borderId="11" xfId="4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0" fillId="22" borderId="13" xfId="4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44" fontId="0" fillId="0" borderId="9" xfId="4" applyFont="1" applyBorder="1" applyAlignment="1">
      <alignment horizontal="right"/>
    </xf>
    <xf numFmtId="0" fontId="0" fillId="0" borderId="13" xfId="0" applyBorder="1" applyAlignment="1">
      <alignment horizontal="right"/>
    </xf>
    <xf numFmtId="0" fontId="12" fillId="0" borderId="0" xfId="0" applyFont="1" applyAlignment="1">
      <alignment horizontal="left"/>
    </xf>
    <xf numFmtId="4" fontId="0" fillId="0" borderId="9" xfId="0" applyNumberFormat="1" applyBorder="1" applyAlignment="1">
      <alignment horizontal="right"/>
    </xf>
    <xf numFmtId="10" fontId="0" fillId="22" borderId="11" xfId="2" applyNumberFormat="1" applyFont="1" applyFill="1" applyBorder="1" applyAlignment="1">
      <alignment horizontal="right"/>
    </xf>
    <xf numFmtId="0" fontId="0" fillId="22" borderId="11" xfId="2" applyNumberFormat="1" applyFont="1" applyFill="1" applyBorder="1" applyAlignment="1">
      <alignment horizontal="right"/>
    </xf>
    <xf numFmtId="170" fontId="8" fillId="0" borderId="11" xfId="1" applyBorder="1"/>
    <xf numFmtId="4" fontId="26" fillId="0" borderId="0" xfId="0" applyNumberFormat="1" applyFont="1"/>
    <xf numFmtId="9" fontId="26" fillId="0" borderId="0" xfId="2" applyFont="1"/>
    <xf numFmtId="0" fontId="3" fillId="0" borderId="0" xfId="0" applyFont="1" applyProtection="1">
      <protection hidden="1"/>
    </xf>
    <xf numFmtId="10" fontId="8" fillId="0" borderId="0" xfId="2" applyNumberFormat="1" applyAlignment="1">
      <alignment horizontal="center"/>
    </xf>
    <xf numFmtId="0" fontId="23" fillId="14" borderId="0" xfId="0" applyFont="1" applyFill="1" applyAlignment="1" applyProtection="1">
      <alignment vertical="center"/>
      <protection hidden="1"/>
    </xf>
    <xf numFmtId="0" fontId="17" fillId="14" borderId="0" xfId="0" applyFont="1" applyFill="1" applyProtection="1">
      <protection hidden="1"/>
    </xf>
    <xf numFmtId="0" fontId="0" fillId="23" borderId="0" xfId="0" applyFill="1" applyProtection="1">
      <protection hidden="1"/>
    </xf>
    <xf numFmtId="0" fontId="17" fillId="23" borderId="0" xfId="0" applyFont="1" applyFill="1" applyAlignment="1" applyProtection="1">
      <alignment vertical="center"/>
      <protection hidden="1"/>
    </xf>
    <xf numFmtId="14" fontId="19" fillId="23" borderId="0" xfId="0" applyNumberFormat="1" applyFont="1" applyFill="1" applyAlignment="1" applyProtection="1">
      <alignment vertical="center"/>
      <protection hidden="1"/>
    </xf>
    <xf numFmtId="0" fontId="28" fillId="0" borderId="0" xfId="0" applyFont="1" applyAlignment="1" applyProtection="1">
      <alignment horizontal="left"/>
      <protection hidden="1"/>
    </xf>
    <xf numFmtId="0" fontId="20" fillId="14" borderId="0" xfId="0" applyFont="1" applyFill="1" applyProtection="1">
      <protection hidden="1"/>
    </xf>
    <xf numFmtId="10" fontId="0" fillId="0" borderId="0" xfId="0" applyNumberFormat="1" applyProtection="1">
      <protection hidden="1"/>
    </xf>
    <xf numFmtId="0" fontId="20" fillId="0" borderId="0" xfId="0" applyFont="1" applyProtection="1">
      <protection hidden="1"/>
    </xf>
    <xf numFmtId="0" fontId="26" fillId="0" borderId="0" xfId="0" applyFont="1" applyAlignment="1">
      <alignment horizontal="center"/>
    </xf>
    <xf numFmtId="0" fontId="24" fillId="0" borderId="0" xfId="0" applyFont="1" applyAlignment="1" applyProtection="1">
      <alignment vertical="center"/>
      <protection hidden="1"/>
    </xf>
    <xf numFmtId="14" fontId="31" fillId="0" borderId="0" xfId="0" applyNumberFormat="1" applyFont="1" applyAlignment="1" applyProtection="1">
      <alignment vertical="center"/>
      <protection hidden="1"/>
    </xf>
    <xf numFmtId="0" fontId="31" fillId="0" borderId="0" xfId="0" applyFont="1" applyProtection="1">
      <protection hidden="1"/>
    </xf>
    <xf numFmtId="0" fontId="31" fillId="0" borderId="0" xfId="0" applyFont="1" applyAlignment="1" applyProtection="1">
      <alignment vertical="center"/>
      <protection hidden="1"/>
    </xf>
    <xf numFmtId="170" fontId="31" fillId="0" borderId="0" xfId="1" applyFont="1" applyBorder="1" applyAlignment="1" applyProtection="1">
      <alignment horizontal="right" vertical="center"/>
      <protection hidden="1"/>
    </xf>
    <xf numFmtId="172" fontId="31" fillId="0" borderId="0" xfId="1" applyNumberFormat="1" applyFont="1" applyBorder="1" applyAlignment="1" applyProtection="1">
      <alignment horizontal="right" vertical="center"/>
      <protection hidden="1"/>
    </xf>
    <xf numFmtId="0" fontId="25" fillId="0" borderId="0" xfId="0" applyFont="1" applyAlignment="1" applyProtection="1">
      <alignment vertical="center" wrapText="1"/>
      <protection hidden="1"/>
    </xf>
    <xf numFmtId="10" fontId="21" fillId="14" borderId="0" xfId="2" applyNumberFormat="1" applyFont="1" applyFill="1" applyBorder="1" applyAlignment="1" applyProtection="1">
      <alignment horizontal="center" vertical="center"/>
      <protection hidden="1"/>
    </xf>
    <xf numFmtId="10" fontId="23" fillId="14" borderId="0" xfId="1" applyNumberFormat="1" applyFont="1" applyFill="1" applyBorder="1" applyAlignment="1" applyProtection="1">
      <alignment horizontal="right" vertical="center"/>
      <protection hidden="1"/>
    </xf>
    <xf numFmtId="8" fontId="3" fillId="0" borderId="0" xfId="0" applyNumberFormat="1" applyFont="1" applyAlignment="1" applyProtection="1">
      <alignment horizontal="center" vertical="center"/>
      <protection hidden="1"/>
    </xf>
    <xf numFmtId="171" fontId="3" fillId="0" borderId="0" xfId="2" applyNumberFormat="1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horizontal="center" vertical="center"/>
      <protection hidden="1"/>
    </xf>
    <xf numFmtId="167" fontId="3" fillId="0" borderId="0" xfId="2" applyNumberFormat="1" applyFont="1" applyBorder="1" applyProtection="1">
      <protection hidden="1"/>
    </xf>
    <xf numFmtId="0" fontId="34" fillId="0" borderId="0" xfId="0" applyFont="1" applyProtection="1">
      <protection hidden="1"/>
    </xf>
    <xf numFmtId="10" fontId="35" fillId="24" borderId="5" xfId="2" applyNumberFormat="1" applyFont="1" applyFill="1" applyBorder="1" applyProtection="1">
      <protection locked="0"/>
    </xf>
    <xf numFmtId="0" fontId="38" fillId="0" borderId="0" xfId="5" applyFont="1" applyAlignment="1">
      <alignment horizontal="center" vertical="center"/>
    </xf>
    <xf numFmtId="0" fontId="38" fillId="0" borderId="0" xfId="5" applyFont="1" applyAlignment="1">
      <alignment vertical="center"/>
    </xf>
    <xf numFmtId="0" fontId="37" fillId="13" borderId="14" xfId="5" applyFont="1" applyFill="1" applyBorder="1" applyAlignment="1">
      <alignment horizontal="center" vertical="center"/>
    </xf>
    <xf numFmtId="0" fontId="38" fillId="0" borderId="14" xfId="5" applyFont="1" applyBorder="1" applyAlignment="1" applyProtection="1">
      <alignment vertical="center"/>
      <protection hidden="1"/>
    </xf>
    <xf numFmtId="0" fontId="38" fillId="0" borderId="14" xfId="5" applyFont="1" applyBorder="1" applyAlignment="1" applyProtection="1">
      <alignment horizontal="center" vertical="center"/>
      <protection hidden="1"/>
    </xf>
    <xf numFmtId="10" fontId="24" fillId="18" borderId="5" xfId="1" applyNumberFormat="1" applyFont="1" applyFill="1" applyBorder="1" applyAlignment="1" applyProtection="1">
      <alignment horizontal="right" vertical="center"/>
      <protection hidden="1"/>
    </xf>
    <xf numFmtId="10" fontId="23" fillId="19" borderId="5" xfId="1" applyNumberFormat="1" applyFont="1" applyFill="1" applyBorder="1" applyAlignment="1" applyProtection="1">
      <alignment horizontal="right" vertical="center"/>
      <protection hidden="1"/>
    </xf>
    <xf numFmtId="0" fontId="39" fillId="0" borderId="7" xfId="0" applyFont="1" applyBorder="1" applyAlignment="1">
      <alignment horizontal="center"/>
    </xf>
    <xf numFmtId="0" fontId="40" fillId="0" borderId="0" xfId="0" applyFont="1" applyAlignment="1" applyProtection="1">
      <alignment horizontal="center"/>
      <protection hidden="1"/>
    </xf>
    <xf numFmtId="10" fontId="40" fillId="0" borderId="0" xfId="0" applyNumberFormat="1" applyFont="1" applyAlignment="1" applyProtection="1">
      <alignment horizontal="center"/>
      <protection hidden="1"/>
    </xf>
    <xf numFmtId="10" fontId="40" fillId="0" borderId="0" xfId="2" applyNumberFormat="1" applyFont="1" applyAlignment="1" applyProtection="1">
      <alignment horizontal="center"/>
      <protection hidden="1"/>
    </xf>
    <xf numFmtId="0" fontId="40" fillId="0" borderId="7" xfId="0" applyFont="1" applyBorder="1" applyAlignment="1" applyProtection="1">
      <alignment horizontal="center"/>
      <protection hidden="1"/>
    </xf>
    <xf numFmtId="10" fontId="40" fillId="0" borderId="7" xfId="0" applyNumberFormat="1" applyFont="1" applyBorder="1" applyAlignment="1" applyProtection="1">
      <alignment horizontal="center"/>
      <protection hidden="1"/>
    </xf>
    <xf numFmtId="10" fontId="40" fillId="0" borderId="7" xfId="2" applyNumberFormat="1" applyFont="1" applyBorder="1" applyAlignment="1" applyProtection="1">
      <alignment horizontal="center"/>
      <protection hidden="1"/>
    </xf>
    <xf numFmtId="0" fontId="40" fillId="13" borderId="0" xfId="0" applyFont="1" applyFill="1" applyAlignment="1" applyProtection="1">
      <alignment horizontal="center"/>
      <protection hidden="1"/>
    </xf>
    <xf numFmtId="10" fontId="40" fillId="13" borderId="0" xfId="0" applyNumberFormat="1" applyFont="1" applyFill="1" applyAlignment="1" applyProtection="1">
      <alignment horizontal="center"/>
      <protection hidden="1"/>
    </xf>
    <xf numFmtId="10" fontId="40" fillId="13" borderId="0" xfId="2" applyNumberFormat="1" applyFont="1" applyFill="1" applyAlignment="1" applyProtection="1">
      <alignment horizontal="center"/>
      <protection hidden="1"/>
    </xf>
    <xf numFmtId="0" fontId="40" fillId="13" borderId="7" xfId="0" applyFont="1" applyFill="1" applyBorder="1" applyAlignment="1" applyProtection="1">
      <alignment horizontal="center"/>
      <protection hidden="1"/>
    </xf>
    <xf numFmtId="10" fontId="40" fillId="13" borderId="7" xfId="0" applyNumberFormat="1" applyFont="1" applyFill="1" applyBorder="1" applyAlignment="1" applyProtection="1">
      <alignment horizontal="center"/>
      <protection hidden="1"/>
    </xf>
    <xf numFmtId="10" fontId="40" fillId="13" borderId="7" xfId="2" applyNumberFormat="1" applyFont="1" applyFill="1" applyBorder="1" applyAlignment="1" applyProtection="1">
      <alignment horizontal="center"/>
      <protection hidden="1"/>
    </xf>
    <xf numFmtId="0" fontId="41" fillId="14" borderId="0" xfId="0" applyFont="1" applyFill="1" applyProtection="1">
      <protection hidden="1"/>
    </xf>
    <xf numFmtId="0" fontId="3" fillId="0" borderId="0" xfId="0" applyFont="1" applyAlignment="1" applyProtection="1">
      <alignment vertical="center"/>
      <protection hidden="1"/>
    </xf>
    <xf numFmtId="10" fontId="3" fillId="0" borderId="0" xfId="0" applyNumberFormat="1" applyFont="1" applyProtection="1">
      <protection hidden="1"/>
    </xf>
    <xf numFmtId="10" fontId="3" fillId="0" borderId="0" xfId="0" applyNumberFormat="1" applyFont="1" applyAlignment="1" applyProtection="1">
      <alignment horizontal="center"/>
      <protection hidden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8" fillId="0" borderId="11" xfId="2" applyNumberFormat="1" applyBorder="1" applyAlignment="1">
      <alignment horizontal="center"/>
    </xf>
    <xf numFmtId="10" fontId="8" fillId="0" borderId="10" xfId="2" applyNumberFormat="1" applyBorder="1" applyAlignment="1">
      <alignment horizontal="center"/>
    </xf>
    <xf numFmtId="10" fontId="8" fillId="0" borderId="12" xfId="2" applyNumberFormat="1" applyBorder="1" applyAlignment="1">
      <alignment horizontal="center"/>
    </xf>
    <xf numFmtId="10" fontId="8" fillId="0" borderId="13" xfId="2" applyNumberFormat="1" applyBorder="1" applyAlignment="1">
      <alignment horizontal="center"/>
    </xf>
    <xf numFmtId="0" fontId="0" fillId="0" borderId="2" xfId="0" applyBorder="1" applyAlignment="1">
      <alignment horizontal="center"/>
    </xf>
    <xf numFmtId="10" fontId="8" fillId="0" borderId="3" xfId="2" applyNumberFormat="1" applyBorder="1" applyAlignment="1">
      <alignment horizontal="center"/>
    </xf>
    <xf numFmtId="10" fontId="8" fillId="0" borderId="4" xfId="2" applyNumberFormat="1" applyBorder="1" applyAlignment="1">
      <alignment horizontal="center"/>
    </xf>
    <xf numFmtId="173" fontId="16" fillId="14" borderId="0" xfId="0" applyNumberFormat="1" applyFont="1" applyFill="1" applyProtection="1">
      <protection hidden="1"/>
    </xf>
    <xf numFmtId="10" fontId="8" fillId="0" borderId="0" xfId="2" applyNumberFormat="1" applyBorder="1" applyProtection="1"/>
    <xf numFmtId="0" fontId="42" fillId="14" borderId="0" xfId="0" applyFont="1" applyFill="1" applyProtection="1">
      <protection hidden="1"/>
    </xf>
    <xf numFmtId="14" fontId="18" fillId="13" borderId="5" xfId="1" applyNumberFormat="1" applyFont="1" applyFill="1" applyBorder="1" applyAlignment="1" applyProtection="1">
      <alignment horizontal="right" vertical="center"/>
      <protection locked="0"/>
    </xf>
    <xf numFmtId="170" fontId="18" fillId="13" borderId="5" xfId="1" applyFont="1" applyFill="1" applyBorder="1" applyAlignment="1" applyProtection="1">
      <alignment horizontal="right" vertical="center"/>
      <protection locked="0"/>
    </xf>
    <xf numFmtId="0" fontId="20" fillId="0" borderId="0" xfId="0" applyFont="1" applyAlignment="1" applyProtection="1">
      <alignment horizontal="left"/>
      <protection hidden="1"/>
    </xf>
    <xf numFmtId="0" fontId="15" fillId="15" borderId="0" xfId="0" applyFont="1" applyFill="1" applyAlignment="1" applyProtection="1">
      <alignment horizontal="center" vertical="center"/>
      <protection hidden="1"/>
    </xf>
    <xf numFmtId="0" fontId="15" fillId="16" borderId="0" xfId="0" applyFont="1" applyFill="1" applyAlignment="1" applyProtection="1">
      <alignment horizontal="center" vertical="center"/>
      <protection hidden="1"/>
    </xf>
    <xf numFmtId="0" fontId="17" fillId="14" borderId="6" xfId="0" applyFont="1" applyFill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 wrapText="1"/>
      <protection hidden="1"/>
    </xf>
    <xf numFmtId="0" fontId="32" fillId="0" borderId="0" xfId="0" applyFont="1" applyAlignment="1" applyProtection="1">
      <alignment horizontal="center" vertical="center" wrapText="1"/>
      <protection hidden="1"/>
    </xf>
    <xf numFmtId="0" fontId="1" fillId="2" borderId="0" xfId="0" applyFont="1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</cellXfs>
  <cellStyles count="6">
    <cellStyle name="Moeda" xfId="4" builtinId="4"/>
    <cellStyle name="Normal" xfId="0" builtinId="0"/>
    <cellStyle name="Normal 2" xfId="5" xr:uid="{E20C3E04-4D18-B844-9EDD-14871160389A}"/>
    <cellStyle name="Porcentagem" xfId="2" builtinId="5"/>
    <cellStyle name="Vírgula" xfId="1" builtinId="3"/>
    <cellStyle name="Vírgula 2" xfId="3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CE5"/>
      <rgbColor rgb="FFFFFF99"/>
      <rgbColor rgb="FF99CCFF"/>
      <rgbColor rgb="FFFF99CC"/>
      <rgbColor rgb="FFCC99FF"/>
      <rgbColor rgb="FFFFD966"/>
      <rgbColor rgb="FF3366FF"/>
      <rgbColor rgb="FF33CCCC"/>
      <rgbColor rgb="FF92D05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148771</xdr:colOff>
      <xdr:row>15</xdr:row>
      <xdr:rowOff>154216</xdr:rowOff>
    </xdr:from>
    <xdr:to>
      <xdr:col>7</xdr:col>
      <xdr:colOff>9070</xdr:colOff>
      <xdr:row>21</xdr:row>
      <xdr:rowOff>27214</xdr:rowOff>
    </xdr:to>
    <xdr:sp macro="" textlink="">
      <xdr:nvSpPr>
        <xdr:cNvPr id="2" name="Retângulo Arredondado 1">
          <a:extLst>
            <a:ext uri="{FF2B5EF4-FFF2-40B4-BE49-F238E27FC236}">
              <a16:creationId xmlns:a16="http://schemas.microsoft.com/office/drawing/2014/main" id="{6FA5506C-DDE9-C643-8E08-3DDCAC1235C2}"/>
            </a:ext>
          </a:extLst>
        </xdr:cNvPr>
        <xdr:cNvSpPr>
          <a:spLocks/>
        </xdr:cNvSpPr>
      </xdr:nvSpPr>
      <xdr:spPr>
        <a:xfrm>
          <a:off x="148771" y="3147787"/>
          <a:ext cx="5421085" cy="997856"/>
        </a:xfrm>
        <a:prstGeom prst="roundRect">
          <a:avLst>
            <a:gd name="adj" fmla="val 2176"/>
          </a:avLst>
        </a:prstGeom>
        <a:noFill/>
        <a:ln w="38100">
          <a:solidFill>
            <a:srgbClr val="EB71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0</xdr:colOff>
      <xdr:row>17</xdr:row>
      <xdr:rowOff>27214</xdr:rowOff>
    </xdr:from>
    <xdr:to>
      <xdr:col>14</xdr:col>
      <xdr:colOff>1814</xdr:colOff>
      <xdr:row>20</xdr:row>
      <xdr:rowOff>117929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FB66B63C-D0F9-D84C-ADC6-3DE963800264}"/>
            </a:ext>
          </a:extLst>
        </xdr:cNvPr>
        <xdr:cNvSpPr>
          <a:spLocks/>
        </xdr:cNvSpPr>
      </xdr:nvSpPr>
      <xdr:spPr>
        <a:xfrm>
          <a:off x="6083300" y="3456214"/>
          <a:ext cx="5399314" cy="700315"/>
        </a:xfrm>
        <a:prstGeom prst="roundRect">
          <a:avLst>
            <a:gd name="adj" fmla="val 2176"/>
          </a:avLst>
        </a:prstGeom>
        <a:noFill/>
        <a:ln w="38100">
          <a:solidFill>
            <a:srgbClr val="72370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12699</xdr:colOff>
      <xdr:row>0</xdr:row>
      <xdr:rowOff>190499</xdr:rowOff>
    </xdr:from>
    <xdr:to>
      <xdr:col>7</xdr:col>
      <xdr:colOff>15874</xdr:colOff>
      <xdr:row>15</xdr:row>
      <xdr:rowOff>27213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1DF4A5AD-AAA1-9C49-9850-482EFD7E18DE}"/>
            </a:ext>
          </a:extLst>
        </xdr:cNvPr>
        <xdr:cNvSpPr>
          <a:spLocks/>
        </xdr:cNvSpPr>
      </xdr:nvSpPr>
      <xdr:spPr>
        <a:xfrm>
          <a:off x="166913" y="190499"/>
          <a:ext cx="5409747" cy="2839357"/>
        </a:xfrm>
        <a:prstGeom prst="roundRect">
          <a:avLst>
            <a:gd name="adj" fmla="val 2176"/>
          </a:avLst>
        </a:prstGeom>
        <a:noFill/>
        <a:ln w="38100">
          <a:solidFill>
            <a:srgbClr val="EB71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0</xdr:colOff>
      <xdr:row>1</xdr:row>
      <xdr:rowOff>0</xdr:rowOff>
    </xdr:from>
    <xdr:to>
      <xdr:col>13</xdr:col>
      <xdr:colOff>215900</xdr:colOff>
      <xdr:row>14</xdr:row>
      <xdr:rowOff>21771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A6B6998D-A7D3-2C45-9518-A68306805918}"/>
            </a:ext>
          </a:extLst>
        </xdr:cNvPr>
        <xdr:cNvSpPr>
          <a:spLocks/>
        </xdr:cNvSpPr>
      </xdr:nvSpPr>
      <xdr:spPr>
        <a:xfrm>
          <a:off x="6934200" y="936171"/>
          <a:ext cx="5397500" cy="2489200"/>
        </a:xfrm>
        <a:prstGeom prst="roundRect">
          <a:avLst>
            <a:gd name="adj" fmla="val 2176"/>
          </a:avLst>
        </a:prstGeom>
        <a:noFill/>
        <a:ln w="38100">
          <a:solidFill>
            <a:srgbClr val="72370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116420</xdr:colOff>
      <xdr:row>4</xdr:row>
      <xdr:rowOff>84668</xdr:rowOff>
    </xdr:from>
    <xdr:to>
      <xdr:col>14</xdr:col>
      <xdr:colOff>42333</xdr:colOff>
      <xdr:row>19</xdr:row>
      <xdr:rowOff>19655</xdr:rowOff>
    </xdr:to>
    <xdr:cxnSp macro="">
      <xdr:nvCxnSpPr>
        <xdr:cNvPr id="6" name="Conector Angulado 5">
          <a:extLst>
            <a:ext uri="{FF2B5EF4-FFF2-40B4-BE49-F238E27FC236}">
              <a16:creationId xmlns:a16="http://schemas.microsoft.com/office/drawing/2014/main" id="{AE93FEFF-43BE-CC4C-9594-BD4F6E82AA1C}"/>
            </a:ext>
          </a:extLst>
        </xdr:cNvPr>
        <xdr:cNvCxnSpPr/>
      </xdr:nvCxnSpPr>
      <xdr:spPr>
        <a:xfrm rot="16200000" flipH="1">
          <a:off x="10822216" y="3063122"/>
          <a:ext cx="2919487" cy="137580"/>
        </a:xfrm>
        <a:prstGeom prst="bentConnector4">
          <a:avLst>
            <a:gd name="adj1" fmla="val 319"/>
            <a:gd name="adj2" fmla="val 266158"/>
          </a:avLst>
        </a:prstGeom>
        <a:ln w="19050">
          <a:solidFill>
            <a:srgbClr val="72370E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DC92-54C3-0F4D-B0EE-7F24153A0335}">
  <sheetPr codeName="Planilha4"/>
  <dimension ref="A1:T36"/>
  <sheetViews>
    <sheetView showGridLines="0" tabSelected="1" zoomScale="130" zoomScaleNormal="130" workbookViewId="0">
      <selection activeCell="E4" sqref="E4"/>
    </sheetView>
  </sheetViews>
  <sheetFormatPr defaultColWidth="10.85546875" defaultRowHeight="15"/>
  <cols>
    <col min="1" max="1" width="2" style="95" customWidth="1"/>
    <col min="2" max="3" width="2.85546875" style="95" customWidth="1"/>
    <col min="4" max="4" width="35.7109375" style="95" customWidth="1"/>
    <col min="5" max="5" width="23.85546875" style="95" customWidth="1"/>
    <col min="6" max="7" width="2.85546875" style="95" customWidth="1"/>
    <col min="8" max="8" width="7" style="95" customWidth="1"/>
    <col min="9" max="10" width="2.85546875" style="95" customWidth="1"/>
    <col min="11" max="11" width="41.140625" style="95" bestFit="1" customWidth="1"/>
    <col min="12" max="12" width="26" style="95" customWidth="1"/>
    <col min="13" max="14" width="2.85546875" style="95" customWidth="1"/>
    <col min="15" max="15" width="9.28515625" style="143" customWidth="1"/>
    <col min="16" max="16" width="11.42578125" style="166" bestFit="1" customWidth="1"/>
    <col min="17" max="19" width="10.85546875" style="143"/>
    <col min="20" max="20" width="10.85546875" style="170"/>
    <col min="21" max="16384" width="10.85546875" style="95"/>
  </cols>
  <sheetData>
    <row r="1" spans="1:18">
      <c r="D1" s="114"/>
    </row>
    <row r="2" spans="1:18" ht="18">
      <c r="B2" s="212" t="s">
        <v>134</v>
      </c>
      <c r="C2" s="212"/>
      <c r="D2" s="212"/>
      <c r="E2" s="212"/>
      <c r="F2" s="212"/>
      <c r="G2" s="212"/>
      <c r="I2" s="213" t="s">
        <v>135</v>
      </c>
      <c r="J2" s="213"/>
      <c r="K2" s="213"/>
      <c r="L2" s="213"/>
      <c r="M2" s="213"/>
      <c r="N2" s="213"/>
    </row>
    <row r="3" spans="1:18">
      <c r="A3" s="96"/>
      <c r="B3" s="97"/>
      <c r="C3" s="98"/>
      <c r="D3" s="98"/>
      <c r="E3" s="98"/>
      <c r="F3" s="99"/>
      <c r="G3" s="97"/>
      <c r="H3" s="96"/>
      <c r="I3" s="97"/>
      <c r="J3" s="97"/>
      <c r="K3" s="98"/>
      <c r="L3" s="98"/>
      <c r="M3" s="97"/>
      <c r="N3" s="97"/>
      <c r="O3" s="193"/>
      <c r="R3" s="143" t="s">
        <v>139</v>
      </c>
    </row>
    <row r="4" spans="1:18">
      <c r="A4" s="96"/>
      <c r="B4" s="97"/>
      <c r="C4" s="97"/>
      <c r="D4" s="102" t="s">
        <v>28</v>
      </c>
      <c r="E4" s="113" t="s">
        <v>279</v>
      </c>
      <c r="F4" s="101"/>
      <c r="G4" s="97"/>
      <c r="H4" s="96"/>
      <c r="I4" s="97"/>
      <c r="J4" s="97"/>
      <c r="K4" s="214"/>
      <c r="L4" s="214"/>
      <c r="M4" s="97"/>
      <c r="N4" s="97"/>
      <c r="O4" s="193"/>
      <c r="P4" s="167"/>
      <c r="R4" s="143" t="s">
        <v>141</v>
      </c>
    </row>
    <row r="5" spans="1:18" ht="15.75">
      <c r="A5" s="96"/>
      <c r="B5" s="97"/>
      <c r="C5" s="97"/>
      <c r="D5" s="102" t="s">
        <v>138</v>
      </c>
      <c r="E5" s="113" t="s">
        <v>139</v>
      </c>
      <c r="F5" s="101"/>
      <c r="G5" s="97"/>
      <c r="H5" s="96"/>
      <c r="I5" s="97"/>
      <c r="J5" s="97"/>
      <c r="K5" s="111" t="s">
        <v>137</v>
      </c>
      <c r="L5" s="115">
        <f ca="1">('Dados de entrada'!B24+'Dados de entrada'!B33+'Dados de entrada'!B42+'Dados de entrada'!B51)-('Dados de entrada'!K4+'Dados de entrada'!K5)</f>
        <v>22302.790523924603</v>
      </c>
      <c r="M5" s="97"/>
      <c r="N5" s="97"/>
      <c r="O5" s="193"/>
      <c r="P5" s="167"/>
    </row>
    <row r="6" spans="1:18" ht="15.75">
      <c r="A6" s="96"/>
      <c r="B6" s="97"/>
      <c r="C6" s="97"/>
      <c r="D6" s="102" t="s">
        <v>169</v>
      </c>
      <c r="E6" s="113" t="s">
        <v>286</v>
      </c>
      <c r="F6" s="103"/>
      <c r="G6" s="97"/>
      <c r="H6" s="96"/>
      <c r="I6" s="97"/>
      <c r="J6" s="97"/>
      <c r="K6" s="111" t="s">
        <v>136</v>
      </c>
      <c r="L6" s="177">
        <f ca="1">ROUND('Dados de entrada'!B53,4)</f>
        <v>2.52E-2</v>
      </c>
      <c r="M6" s="97"/>
      <c r="N6" s="97"/>
      <c r="O6" s="193"/>
      <c r="P6" s="164"/>
    </row>
    <row r="7" spans="1:18">
      <c r="A7" s="96"/>
      <c r="B7" s="97"/>
      <c r="C7" s="97"/>
      <c r="D7" s="102" t="s">
        <v>174</v>
      </c>
      <c r="E7" s="209">
        <f ca="1">+TODAY()</f>
        <v>46212</v>
      </c>
      <c r="F7" s="104"/>
      <c r="G7" s="97"/>
      <c r="H7" s="96"/>
      <c r="I7" s="97"/>
      <c r="J7" s="97"/>
      <c r="K7" s="214"/>
      <c r="L7" s="214"/>
      <c r="M7" s="97"/>
      <c r="N7" s="97"/>
      <c r="O7" s="193"/>
      <c r="P7" s="164" t="s">
        <v>193</v>
      </c>
    </row>
    <row r="8" spans="1:18">
      <c r="A8" s="96"/>
      <c r="B8" s="97"/>
      <c r="C8" s="97"/>
      <c r="D8" s="102" t="s">
        <v>175</v>
      </c>
      <c r="E8" s="209">
        <v>46241</v>
      </c>
      <c r="F8" s="104"/>
      <c r="G8" s="97"/>
      <c r="H8" s="96"/>
      <c r="I8" s="97"/>
      <c r="J8" s="97"/>
      <c r="K8" s="102"/>
      <c r="L8" s="105"/>
      <c r="M8" s="97"/>
      <c r="N8" s="97"/>
      <c r="O8" s="193"/>
      <c r="P8" s="165" t="str" cm="1">
        <f t="array" aca="1" ref="P8" ca="1">IF(E6="Sim",
  _xlfn.XLOOKUP(Apoio!$K$2,
    _xlfn._xlws.SORT(_xlfn._xlws.FILTER('Tabela de Comissionamento'!$C$2:$C$109,
         'Tabela de Comissionamento'!$A$2:$A$109=IFERROR(_xlfn.XLOOKUP(Apoio!$K$1,Apoio!$D$2:$D$23,Apoio!$E$2:$E$23),Apoio!$K$1))),
    _xlfn._xlws.SORT(_xlfn._xlws.FILTER('Tabela de Comissionamento'!$D$2:$D$109,
         'Tabela de Comissionamento'!$A$2:$A$109=IFERROR(_xlfn.XLOOKUP(Apoio!$K$1,Apoio!$D$2:$D$23,Apoio!$E$2:$E$23),Apoio!$K$1))),
    "",-1),
  _xlfn.XLOOKUP(Apoio!$K$2,
    _xlfn._xlws.SORT(_xlfn._xlws.FILTER('Tabela de Comissionamento'!$B$2:$B$109,
         'Tabela de Comissionamento'!$A$2:$A$109=IFERROR(_xlfn.XLOOKUP(Apoio!$K$1,Apoio!$D$2:$D$23,Apoio!$E$2:$E$23),Apoio!$K$1))),
    _xlfn._xlws.SORT(_xlfn._xlws.FILTER('Tabela de Comissionamento'!$D$2:$D$109,
         'Tabela de Comissionamento'!$A$2:$A$109=IFERROR(_xlfn.XLOOKUP(Apoio!$K$1,Apoio!$D$2:$D$23,Apoio!$E$2:$E$23),Apoio!$K$1))),
    "",-1))</f>
        <v>Tabela 6</v>
      </c>
    </row>
    <row r="9" spans="1:18" ht="15.75">
      <c r="A9" s="96"/>
      <c r="B9" s="97"/>
      <c r="C9" s="97"/>
      <c r="D9" s="102"/>
      <c r="E9" s="112"/>
      <c r="F9" s="106"/>
      <c r="G9" s="97"/>
      <c r="H9" s="96"/>
      <c r="I9" s="97"/>
      <c r="J9" s="97"/>
      <c r="K9" s="111" t="s">
        <v>192</v>
      </c>
      <c r="L9" s="178">
        <f>IF($E$6="Sim",
  SUMIFS(Apoio!$G:$G,Apoio!$D:$D,$E$4,Apoio!$F:$F,$R$3)-0.03%,
  SUMIFS(Apoio!$G:$G,Apoio!$D:$D,$E$4,Apoio!$F:$F,$R$3))</f>
        <v>1.67E-2</v>
      </c>
      <c r="M9" s="97"/>
      <c r="N9" s="97"/>
      <c r="O9" s="193"/>
      <c r="P9" s="168"/>
    </row>
    <row r="10" spans="1:18" ht="15.75">
      <c r="A10" s="96"/>
      <c r="B10" s="97"/>
      <c r="C10" s="97"/>
      <c r="D10" s="102" t="s">
        <v>288</v>
      </c>
      <c r="E10" s="113">
        <v>120</v>
      </c>
      <c r="F10" s="106"/>
      <c r="G10" s="97"/>
      <c r="H10" s="96"/>
      <c r="I10" s="97"/>
      <c r="J10" s="97"/>
      <c r="K10" s="100" t="s">
        <v>140</v>
      </c>
      <c r="L10" s="163"/>
      <c r="M10" s="97"/>
      <c r="N10" s="97"/>
      <c r="O10" s="193"/>
      <c r="P10" s="168"/>
    </row>
    <row r="11" spans="1:18" ht="15.75">
      <c r="A11" s="96"/>
      <c r="B11" s="97"/>
      <c r="C11" s="97"/>
      <c r="D11" s="102" t="s">
        <v>289</v>
      </c>
      <c r="E11" s="171">
        <v>2.7999999999999997E-2</v>
      </c>
      <c r="F11" s="106"/>
      <c r="G11" s="97"/>
      <c r="H11" s="96"/>
      <c r="I11" s="97"/>
      <c r="J11" s="97"/>
      <c r="K11" s="100"/>
      <c r="L11" s="162"/>
      <c r="M11" s="97"/>
      <c r="N11" s="97"/>
      <c r="O11" s="193"/>
      <c r="P11" s="168"/>
    </row>
    <row r="12" spans="1:18">
      <c r="A12" s="96"/>
      <c r="B12" s="97"/>
      <c r="C12" s="97"/>
      <c r="D12" s="102" t="s">
        <v>283</v>
      </c>
      <c r="E12" s="210">
        <v>3000</v>
      </c>
      <c r="F12" s="106"/>
      <c r="G12" s="97"/>
      <c r="H12" s="96"/>
      <c r="I12" s="97"/>
      <c r="J12" s="97"/>
      <c r="K12" s="98"/>
      <c r="L12" s="162"/>
      <c r="M12" s="97"/>
      <c r="N12" s="97"/>
      <c r="O12" s="193"/>
      <c r="P12" s="168"/>
    </row>
    <row r="13" spans="1:18">
      <c r="B13" s="98"/>
      <c r="C13" s="97"/>
      <c r="D13" s="192" t="s">
        <v>282</v>
      </c>
      <c r="E13" s="98"/>
      <c r="F13" s="101"/>
      <c r="G13" s="98"/>
      <c r="I13" s="98"/>
      <c r="J13" s="98"/>
      <c r="K13" s="98"/>
      <c r="L13" s="99"/>
      <c r="M13" s="98"/>
      <c r="N13" s="98"/>
    </row>
    <row r="14" spans="1:18">
      <c r="B14" s="98"/>
      <c r="C14" s="97"/>
      <c r="D14" s="208" t="str">
        <f ca="1">IF(Apoio!$K$6="Não Favorável",
    "Taxa ponderada fora do range permitido para "&amp;Apoio!$K$1,
    "Range permitido: "&amp;TEXT(Apoio!$K$4,"0,00%")&amp;" a "&amp;TEXT(Apoio!$K$5,"0,00%"))</f>
        <v>Taxa ponderada fora do range permitido para Siape</v>
      </c>
      <c r="E14" s="206"/>
      <c r="F14" s="101"/>
      <c r="G14" s="98"/>
      <c r="I14" s="98"/>
      <c r="J14" s="98"/>
      <c r="K14" s="98"/>
      <c r="L14" s="99"/>
      <c r="M14" s="98"/>
      <c r="N14" s="98"/>
    </row>
    <row r="15" spans="1:18">
      <c r="B15" s="98"/>
      <c r="C15" s="98"/>
      <c r="D15" s="151"/>
      <c r="E15" s="98"/>
      <c r="F15" s="98"/>
      <c r="G15" s="98"/>
      <c r="I15" s="150" t="s">
        <v>133</v>
      </c>
    </row>
    <row r="16" spans="1:18" ht="15.95" customHeight="1"/>
    <row r="17" spans="1:16" ht="15.95" customHeight="1">
      <c r="A17" s="96"/>
      <c r="B17" s="98"/>
      <c r="C17" s="98"/>
      <c r="D17" s="145" t="s">
        <v>117</v>
      </c>
      <c r="E17" s="107"/>
      <c r="F17" s="98"/>
      <c r="G17" s="98"/>
      <c r="H17" s="96"/>
      <c r="I17" s="96"/>
      <c r="L17" s="161"/>
      <c r="M17" s="161"/>
      <c r="N17" s="96"/>
      <c r="O17" s="193"/>
      <c r="P17" s="167"/>
    </row>
    <row r="18" spans="1:16" ht="15.95" customHeight="1">
      <c r="B18" s="97"/>
      <c r="C18" s="97"/>
      <c r="D18" s="146" t="s">
        <v>180</v>
      </c>
      <c r="E18" s="210">
        <v>90000</v>
      </c>
      <c r="F18" s="97"/>
      <c r="G18" s="97"/>
      <c r="I18" s="96"/>
      <c r="J18" s="161"/>
      <c r="K18" s="161"/>
      <c r="L18" s="161"/>
      <c r="M18" s="161"/>
      <c r="N18" s="96"/>
      <c r="O18" s="193"/>
      <c r="P18" s="167"/>
    </row>
    <row r="19" spans="1:16" ht="15.95" customHeight="1">
      <c r="B19" s="97"/>
      <c r="C19" s="97"/>
      <c r="D19" s="146" t="s">
        <v>290</v>
      </c>
      <c r="E19" s="113">
        <v>50</v>
      </c>
      <c r="F19" s="97"/>
      <c r="G19" s="97"/>
      <c r="J19" s="161"/>
      <c r="K19" s="215" t="str">
        <f ca="1">IF(AND(OR($E$4="Marinha",$E$4="Exército",$E$4="Aeronáutica"),$E$6="Sim"),"Parecer: Não Favorável - Seguro não disponível","Parecer: "&amp;Apoio!$K$6)</f>
        <v>Parecer: Não Favorável</v>
      </c>
      <c r="L19" s="215"/>
      <c r="M19" s="161"/>
    </row>
    <row r="20" spans="1:16" ht="15.95" customHeight="1">
      <c r="B20" s="97"/>
      <c r="C20" s="97"/>
      <c r="D20" s="100" t="s">
        <v>179</v>
      </c>
      <c r="E20" s="210">
        <v>3000</v>
      </c>
      <c r="F20" s="97"/>
      <c r="G20" s="97"/>
      <c r="J20" s="161"/>
      <c r="K20" s="216" t="str">
        <f ca="1">IF(AND(OR($E$4="Marinha",$E$4="Exército",$E$4="Aeronáutica"),$E$6="Sim"),"",IF(Apoio!$K$6="Não Favorável","",P8&amp;" de comissionamento"))</f>
        <v/>
      </c>
      <c r="L20" s="216"/>
      <c r="M20" s="161"/>
    </row>
    <row r="21" spans="1:16" ht="9.9499999999999993" customHeight="1">
      <c r="B21" s="147"/>
      <c r="C21" s="147"/>
      <c r="D21" s="148"/>
      <c r="E21" s="149"/>
      <c r="F21" s="147"/>
      <c r="G21" s="147"/>
      <c r="J21" s="161"/>
      <c r="K21" s="161"/>
      <c r="L21" s="161"/>
      <c r="M21" s="161"/>
    </row>
    <row r="22" spans="1:16" ht="15.95" customHeight="1">
      <c r="B22" s="143"/>
      <c r="C22" s="143"/>
      <c r="D22" s="155" t="s">
        <v>125</v>
      </c>
      <c r="E22" s="156"/>
      <c r="F22" s="143"/>
      <c r="G22" s="143"/>
      <c r="J22" s="161"/>
      <c r="K22" s="161"/>
      <c r="L22" s="161"/>
      <c r="M22" s="161"/>
    </row>
    <row r="23" spans="1:16" ht="15.75">
      <c r="B23" s="143"/>
      <c r="C23" s="143"/>
      <c r="D23" s="157" t="s">
        <v>180</v>
      </c>
      <c r="E23" s="169">
        <v>1.8200000000000001E-2</v>
      </c>
      <c r="F23" s="143"/>
      <c r="G23" s="143"/>
      <c r="I23" s="211"/>
      <c r="J23" s="211"/>
      <c r="K23" s="211"/>
      <c r="L23" s="211"/>
      <c r="M23" s="211"/>
      <c r="O23" s="194"/>
    </row>
    <row r="24" spans="1:16" ht="15.75">
      <c r="B24" s="143"/>
      <c r="C24" s="143"/>
      <c r="D24" s="157" t="s">
        <v>173</v>
      </c>
      <c r="E24" s="160">
        <f>+PV(E23,E19,-E20)</f>
        <v>97939.922451597886</v>
      </c>
      <c r="F24" s="143"/>
      <c r="G24" s="143"/>
      <c r="I24" s="211"/>
      <c r="J24" s="211"/>
      <c r="K24" s="211"/>
      <c r="L24" s="211"/>
      <c r="M24" s="153"/>
      <c r="O24" s="195"/>
    </row>
    <row r="25" spans="1:16">
      <c r="B25" s="143"/>
      <c r="C25" s="143"/>
      <c r="D25" s="158" t="s">
        <v>179</v>
      </c>
      <c r="E25" s="159"/>
      <c r="F25" s="143"/>
      <c r="G25" s="143"/>
    </row>
    <row r="26" spans="1:16" ht="9.9499999999999993" customHeight="1">
      <c r="B26" s="143"/>
      <c r="C26" s="143"/>
      <c r="D26" s="143"/>
      <c r="E26" s="143"/>
      <c r="F26" s="143"/>
      <c r="G26" s="143"/>
    </row>
    <row r="27" spans="1:16" ht="15.75">
      <c r="B27" s="143"/>
      <c r="C27" s="143"/>
      <c r="D27" s="155" t="s">
        <v>171</v>
      </c>
      <c r="E27" s="143"/>
      <c r="F27" s="143"/>
      <c r="G27" s="143"/>
      <c r="K27" s="152"/>
    </row>
    <row r="28" spans="1:16" ht="15.75">
      <c r="B28" s="143"/>
      <c r="C28" s="143"/>
      <c r="D28" s="157" t="s">
        <v>180</v>
      </c>
      <c r="E28" s="159"/>
      <c r="F28" s="143"/>
      <c r="G28" s="143"/>
    </row>
    <row r="29" spans="1:16" ht="15.75">
      <c r="B29" s="143"/>
      <c r="C29" s="143"/>
      <c r="D29" s="157" t="s">
        <v>173</v>
      </c>
      <c r="E29" s="207"/>
      <c r="F29" s="143"/>
      <c r="G29" s="143"/>
    </row>
    <row r="30" spans="1:16">
      <c r="B30" s="143"/>
      <c r="C30" s="143"/>
      <c r="D30" s="158" t="s">
        <v>179</v>
      </c>
      <c r="E30" s="159"/>
      <c r="F30" s="143"/>
      <c r="G30" s="143"/>
    </row>
    <row r="31" spans="1:16" ht="9" customHeight="1">
      <c r="B31" s="143"/>
      <c r="C31" s="143"/>
      <c r="D31" s="143"/>
      <c r="E31" s="143"/>
      <c r="F31" s="143"/>
      <c r="G31" s="143"/>
    </row>
    <row r="32" spans="1:16" ht="15.75">
      <c r="B32" s="143"/>
      <c r="C32" s="143"/>
      <c r="D32" s="155" t="s">
        <v>172</v>
      </c>
      <c r="E32" s="143"/>
      <c r="F32" s="143"/>
      <c r="G32" s="143"/>
    </row>
    <row r="33" spans="2:7" ht="15.75">
      <c r="B33" s="143"/>
      <c r="C33" s="143"/>
      <c r="D33" s="157" t="s">
        <v>180</v>
      </c>
      <c r="E33" s="159"/>
      <c r="F33" s="143"/>
      <c r="G33" s="143"/>
    </row>
    <row r="34" spans="2:7" ht="15.75">
      <c r="B34" s="143"/>
      <c r="C34" s="143"/>
      <c r="D34" s="157" t="s">
        <v>173</v>
      </c>
      <c r="E34" s="160"/>
      <c r="F34" s="143"/>
      <c r="G34" s="143"/>
    </row>
    <row r="35" spans="2:7">
      <c r="B35" s="143"/>
      <c r="C35" s="143"/>
      <c r="D35" s="158" t="s">
        <v>179</v>
      </c>
      <c r="E35" s="159"/>
      <c r="F35" s="143"/>
      <c r="G35" s="143"/>
    </row>
    <row r="36" spans="2:7" ht="8.1" customHeight="1"/>
  </sheetData>
  <mergeCells count="8">
    <mergeCell ref="I24:L24"/>
    <mergeCell ref="I23:M23"/>
    <mergeCell ref="B2:G2"/>
    <mergeCell ref="I2:N2"/>
    <mergeCell ref="K7:L7"/>
    <mergeCell ref="K4:L4"/>
    <mergeCell ref="K19:L19"/>
    <mergeCell ref="K20:L20"/>
  </mergeCells>
  <dataValidations count="2">
    <dataValidation type="list" allowBlank="1" showInputMessage="1" showErrorMessage="1" sqref="E6" xr:uid="{09F149F4-4483-C84C-AAEE-222BC36E5214}">
      <formula1>"Sim,Não"</formula1>
    </dataValidation>
    <dataValidation type="list" allowBlank="1" showInputMessage="1" showErrorMessage="1" sqref="E11" xr:uid="{AD5D3B4D-FE48-0E4D-88B4-1E42C94BCE10}">
      <formula1>Listarefin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/>
  <ignoredErrors>
    <ignoredError sqref="E7" unlockedFormula="1"/>
  </ignoredErrors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8DA1B8-E2AC-7347-AD85-9AFE4B31E823}">
          <x14:formula1>
            <xm:f>Apoio!$A$2:$A$23</xm:f>
          </x14:formula1>
          <xm:sqref>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0D87-804E-3444-87EE-BB73C77CDCEF}">
  <dimension ref="A1:G62"/>
  <sheetViews>
    <sheetView showGridLines="0" workbookViewId="0">
      <pane ySplit="1" topLeftCell="A2" activePane="bottomLeft" state="frozen"/>
      <selection pane="bottomLeft" activeCell="G8" sqref="G8"/>
    </sheetView>
  </sheetViews>
  <sheetFormatPr defaultColWidth="8.7109375" defaultRowHeight="18"/>
  <cols>
    <col min="1" max="1" width="53.85546875" style="173" customWidth="1"/>
    <col min="2" max="2" width="53.85546875" style="173" bestFit="1" customWidth="1"/>
    <col min="3" max="3" width="15.140625" style="172" customWidth="1"/>
    <col min="4" max="4" width="26.42578125" style="172" customWidth="1"/>
    <col min="5" max="6" width="8.7109375" style="172"/>
    <col min="7" max="16384" width="8.7109375" style="173"/>
  </cols>
  <sheetData>
    <row r="1" spans="1:7" s="172" customFormat="1">
      <c r="A1" s="174" t="s">
        <v>28</v>
      </c>
      <c r="B1" s="174" t="s">
        <v>205</v>
      </c>
      <c r="C1" s="174" t="s">
        <v>206</v>
      </c>
      <c r="D1" s="174" t="s">
        <v>278</v>
      </c>
      <c r="G1" s="173"/>
    </row>
    <row r="2" spans="1:7" s="172" customFormat="1">
      <c r="A2" s="175" t="s">
        <v>207</v>
      </c>
      <c r="B2" s="175" t="s">
        <v>208</v>
      </c>
      <c r="C2" s="176" t="s">
        <v>209</v>
      </c>
      <c r="D2" s="176">
        <v>7</v>
      </c>
      <c r="G2" s="173"/>
    </row>
    <row r="3" spans="1:7" s="172" customFormat="1">
      <c r="A3" s="175" t="s">
        <v>207</v>
      </c>
      <c r="B3" s="175" t="s">
        <v>210</v>
      </c>
      <c r="C3" s="176" t="s">
        <v>209</v>
      </c>
      <c r="D3" s="176">
        <v>7</v>
      </c>
      <c r="G3" s="173"/>
    </row>
    <row r="4" spans="1:7" s="172" customFormat="1">
      <c r="A4" s="175" t="s">
        <v>207</v>
      </c>
      <c r="B4" s="175" t="s">
        <v>187</v>
      </c>
      <c r="C4" s="176" t="s">
        <v>209</v>
      </c>
      <c r="D4" s="176">
        <v>7</v>
      </c>
      <c r="G4" s="173"/>
    </row>
    <row r="5" spans="1:7" s="172" customFormat="1">
      <c r="A5" s="175" t="s">
        <v>207</v>
      </c>
      <c r="B5" s="175" t="s">
        <v>188</v>
      </c>
      <c r="C5" s="176" t="s">
        <v>209</v>
      </c>
      <c r="D5" s="176">
        <v>7</v>
      </c>
      <c r="G5" s="173"/>
    </row>
    <row r="6" spans="1:7" s="172" customFormat="1">
      <c r="A6" s="175" t="s">
        <v>207</v>
      </c>
      <c r="B6" s="175" t="s">
        <v>189</v>
      </c>
      <c r="C6" s="176" t="s">
        <v>209</v>
      </c>
      <c r="D6" s="176">
        <v>7</v>
      </c>
      <c r="G6" s="173"/>
    </row>
    <row r="7" spans="1:7" s="172" customFormat="1">
      <c r="A7" s="175" t="s">
        <v>207</v>
      </c>
      <c r="B7" s="175" t="s">
        <v>211</v>
      </c>
      <c r="C7" s="176" t="s">
        <v>209</v>
      </c>
      <c r="D7" s="176">
        <v>7</v>
      </c>
      <c r="G7" s="173"/>
    </row>
    <row r="8" spans="1:7" s="172" customFormat="1">
      <c r="A8" s="175" t="s">
        <v>90</v>
      </c>
      <c r="B8" s="175" t="s">
        <v>90</v>
      </c>
      <c r="C8" s="176" t="s">
        <v>209</v>
      </c>
      <c r="D8" s="176">
        <v>21</v>
      </c>
      <c r="G8" s="173"/>
    </row>
    <row r="9" spans="1:7" s="172" customFormat="1">
      <c r="A9" s="175" t="s">
        <v>212</v>
      </c>
      <c r="B9" s="175" t="s">
        <v>212</v>
      </c>
      <c r="C9" s="176" t="s">
        <v>209</v>
      </c>
      <c r="D9" s="176">
        <v>12</v>
      </c>
      <c r="G9" s="173"/>
    </row>
    <row r="10" spans="1:7" s="172" customFormat="1">
      <c r="A10" s="175" t="s">
        <v>213</v>
      </c>
      <c r="B10" s="175" t="s">
        <v>214</v>
      </c>
      <c r="C10" s="176" t="s">
        <v>209</v>
      </c>
      <c r="D10" s="176">
        <v>25</v>
      </c>
      <c r="G10" s="173"/>
    </row>
    <row r="11" spans="1:7" s="172" customFormat="1">
      <c r="A11" s="175" t="s">
        <v>29</v>
      </c>
      <c r="B11" s="175" t="s">
        <v>29</v>
      </c>
      <c r="C11" s="176" t="s">
        <v>209</v>
      </c>
      <c r="D11" s="176">
        <v>7</v>
      </c>
      <c r="G11" s="173"/>
    </row>
    <row r="12" spans="1:7" s="172" customFormat="1">
      <c r="A12" s="175" t="s">
        <v>215</v>
      </c>
      <c r="B12" s="175" t="s">
        <v>216</v>
      </c>
      <c r="C12" s="176" t="s">
        <v>209</v>
      </c>
      <c r="D12" s="176">
        <v>8</v>
      </c>
      <c r="G12" s="173"/>
    </row>
    <row r="13" spans="1:7" s="172" customFormat="1">
      <c r="A13" s="175" t="s">
        <v>215</v>
      </c>
      <c r="B13" s="175" t="s">
        <v>217</v>
      </c>
      <c r="C13" s="176" t="s">
        <v>209</v>
      </c>
      <c r="D13" s="176">
        <v>8</v>
      </c>
      <c r="G13" s="173"/>
    </row>
    <row r="14" spans="1:7" s="172" customFormat="1">
      <c r="A14" s="175" t="s">
        <v>215</v>
      </c>
      <c r="B14" s="175" t="s">
        <v>218</v>
      </c>
      <c r="C14" s="176" t="s">
        <v>209</v>
      </c>
      <c r="D14" s="176">
        <v>8</v>
      </c>
      <c r="G14" s="173"/>
    </row>
    <row r="15" spans="1:7" s="172" customFormat="1">
      <c r="A15" s="175" t="s">
        <v>215</v>
      </c>
      <c r="B15" s="175" t="s">
        <v>219</v>
      </c>
      <c r="C15" s="176" t="s">
        <v>209</v>
      </c>
      <c r="D15" s="176">
        <v>8</v>
      </c>
      <c r="G15" s="173"/>
    </row>
    <row r="16" spans="1:7" s="172" customFormat="1">
      <c r="A16" s="175" t="s">
        <v>215</v>
      </c>
      <c r="B16" s="175" t="s">
        <v>220</v>
      </c>
      <c r="C16" s="176" t="s">
        <v>209</v>
      </c>
      <c r="D16" s="176">
        <v>8</v>
      </c>
      <c r="G16" s="173"/>
    </row>
    <row r="17" spans="1:7" s="172" customFormat="1">
      <c r="A17" s="175" t="s">
        <v>215</v>
      </c>
      <c r="B17" s="175" t="s">
        <v>221</v>
      </c>
      <c r="C17" s="176" t="s">
        <v>209</v>
      </c>
      <c r="D17" s="176">
        <v>8</v>
      </c>
      <c r="G17" s="173"/>
    </row>
    <row r="18" spans="1:7" s="172" customFormat="1">
      <c r="A18" s="175" t="s">
        <v>222</v>
      </c>
      <c r="B18" s="175" t="s">
        <v>223</v>
      </c>
      <c r="C18" s="176" t="s">
        <v>209</v>
      </c>
      <c r="D18" s="176">
        <v>15</v>
      </c>
      <c r="G18" s="173"/>
    </row>
    <row r="19" spans="1:7" s="172" customFormat="1">
      <c r="A19" s="175" t="s">
        <v>224</v>
      </c>
      <c r="B19" s="175" t="s">
        <v>224</v>
      </c>
      <c r="C19" s="176" t="s">
        <v>209</v>
      </c>
      <c r="D19" s="176">
        <v>5</v>
      </c>
      <c r="G19" s="173"/>
    </row>
    <row r="20" spans="1:7" s="172" customFormat="1">
      <c r="A20" s="175" t="s">
        <v>225</v>
      </c>
      <c r="B20" s="175" t="s">
        <v>225</v>
      </c>
      <c r="C20" s="176" t="s">
        <v>209</v>
      </c>
      <c r="D20" s="176">
        <v>28</v>
      </c>
      <c r="G20" s="173"/>
    </row>
    <row r="21" spans="1:7" s="172" customFormat="1">
      <c r="A21" s="175" t="s">
        <v>226</v>
      </c>
      <c r="B21" s="175" t="s">
        <v>227</v>
      </c>
      <c r="C21" s="176" t="s">
        <v>209</v>
      </c>
      <c r="D21" s="176">
        <v>4</v>
      </c>
      <c r="G21" s="173"/>
    </row>
    <row r="22" spans="1:7" s="172" customFormat="1">
      <c r="A22" s="175" t="s">
        <v>228</v>
      </c>
      <c r="B22" s="175" t="s">
        <v>229</v>
      </c>
      <c r="C22" s="176" t="s">
        <v>209</v>
      </c>
      <c r="D22" s="176">
        <v>5</v>
      </c>
      <c r="G22" s="173"/>
    </row>
    <row r="23" spans="1:7" s="172" customFormat="1">
      <c r="A23" s="175" t="s">
        <v>228</v>
      </c>
      <c r="B23" s="175" t="s">
        <v>230</v>
      </c>
      <c r="C23" s="176" t="s">
        <v>209</v>
      </c>
      <c r="D23" s="176">
        <v>5</v>
      </c>
      <c r="G23" s="173"/>
    </row>
    <row r="24" spans="1:7" s="172" customFormat="1">
      <c r="A24" s="175" t="s">
        <v>228</v>
      </c>
      <c r="B24" s="175" t="s">
        <v>231</v>
      </c>
      <c r="C24" s="176" t="s">
        <v>209</v>
      </c>
      <c r="D24" s="176">
        <v>5</v>
      </c>
      <c r="G24" s="173"/>
    </row>
    <row r="25" spans="1:7" s="172" customFormat="1">
      <c r="A25" s="175" t="s">
        <v>232</v>
      </c>
      <c r="B25" s="175" t="s">
        <v>232</v>
      </c>
      <c r="C25" s="176" t="s">
        <v>209</v>
      </c>
      <c r="D25" s="176">
        <v>27</v>
      </c>
      <c r="G25" s="173"/>
    </row>
    <row r="26" spans="1:7" s="172" customFormat="1">
      <c r="A26" s="175" t="s">
        <v>233</v>
      </c>
      <c r="B26" s="175" t="s">
        <v>234</v>
      </c>
      <c r="C26" s="176" t="s">
        <v>209</v>
      </c>
      <c r="D26" s="176">
        <v>5</v>
      </c>
      <c r="G26" s="173"/>
    </row>
    <row r="27" spans="1:7" s="172" customFormat="1">
      <c r="A27" s="175" t="s">
        <v>235</v>
      </c>
      <c r="B27" s="175" t="s">
        <v>235</v>
      </c>
      <c r="C27" s="176" t="s">
        <v>209</v>
      </c>
      <c r="D27" s="176">
        <v>20</v>
      </c>
      <c r="G27" s="173"/>
    </row>
    <row r="28" spans="1:7" s="172" customFormat="1">
      <c r="A28" s="175" t="s">
        <v>236</v>
      </c>
      <c r="B28" s="175" t="s">
        <v>236</v>
      </c>
      <c r="C28" s="176" t="s">
        <v>209</v>
      </c>
      <c r="D28" s="176">
        <v>10</v>
      </c>
      <c r="G28" s="173"/>
    </row>
    <row r="29" spans="1:7" s="172" customFormat="1">
      <c r="A29" s="175" t="s">
        <v>237</v>
      </c>
      <c r="B29" s="175" t="s">
        <v>237</v>
      </c>
      <c r="C29" s="176" t="s">
        <v>209</v>
      </c>
      <c r="D29" s="176">
        <v>7</v>
      </c>
      <c r="G29" s="173"/>
    </row>
    <row r="30" spans="1:7" s="172" customFormat="1">
      <c r="A30" s="175" t="s">
        <v>238</v>
      </c>
      <c r="B30" s="175" t="s">
        <v>238</v>
      </c>
      <c r="C30" s="176" t="s">
        <v>209</v>
      </c>
      <c r="D30" s="176">
        <v>20</v>
      </c>
      <c r="G30" s="173"/>
    </row>
    <row r="31" spans="1:7" s="172" customFormat="1">
      <c r="A31" s="175" t="s">
        <v>239</v>
      </c>
      <c r="B31" s="175" t="s">
        <v>240</v>
      </c>
      <c r="C31" s="176" t="s">
        <v>209</v>
      </c>
      <c r="D31" s="176">
        <v>14</v>
      </c>
      <c r="G31" s="173"/>
    </row>
    <row r="32" spans="1:7" s="172" customFormat="1">
      <c r="A32" s="175" t="s">
        <v>241</v>
      </c>
      <c r="B32" s="175" t="s">
        <v>242</v>
      </c>
      <c r="C32" s="176" t="s">
        <v>209</v>
      </c>
      <c r="D32" s="176">
        <v>20</v>
      </c>
      <c r="G32" s="173"/>
    </row>
    <row r="33" spans="1:7" s="172" customFormat="1">
      <c r="A33" s="175" t="s">
        <v>243</v>
      </c>
      <c r="B33" s="175" t="s">
        <v>244</v>
      </c>
      <c r="C33" s="176" t="s">
        <v>209</v>
      </c>
      <c r="D33" s="176">
        <v>23</v>
      </c>
      <c r="G33" s="173"/>
    </row>
    <row r="34" spans="1:7" s="172" customFormat="1">
      <c r="A34" s="175" t="s">
        <v>245</v>
      </c>
      <c r="B34" s="175" t="s">
        <v>246</v>
      </c>
      <c r="C34" s="176" t="s">
        <v>209</v>
      </c>
      <c r="D34" s="176">
        <v>20</v>
      </c>
      <c r="G34" s="173"/>
    </row>
    <row r="35" spans="1:7" s="172" customFormat="1">
      <c r="A35" s="175" t="s">
        <v>245</v>
      </c>
      <c r="B35" s="175" t="s">
        <v>245</v>
      </c>
      <c r="C35" s="176" t="s">
        <v>209</v>
      </c>
      <c r="D35" s="176">
        <v>20</v>
      </c>
      <c r="G35" s="173"/>
    </row>
    <row r="36" spans="1:7" s="172" customFormat="1">
      <c r="A36" s="175" t="s">
        <v>247</v>
      </c>
      <c r="B36" s="175" t="s">
        <v>247</v>
      </c>
      <c r="C36" s="176" t="s">
        <v>209</v>
      </c>
      <c r="D36" s="176">
        <v>23</v>
      </c>
      <c r="G36" s="173"/>
    </row>
    <row r="37" spans="1:7" s="172" customFormat="1">
      <c r="A37" s="175" t="s">
        <v>248</v>
      </c>
      <c r="B37" s="175" t="s">
        <v>248</v>
      </c>
      <c r="C37" s="176" t="s">
        <v>209</v>
      </c>
      <c r="D37" s="176">
        <v>15</v>
      </c>
      <c r="G37" s="173"/>
    </row>
    <row r="38" spans="1:7" s="172" customFormat="1">
      <c r="A38" s="175" t="s">
        <v>249</v>
      </c>
      <c r="B38" s="175" t="s">
        <v>249</v>
      </c>
      <c r="C38" s="176" t="s">
        <v>209</v>
      </c>
      <c r="D38" s="176">
        <v>25</v>
      </c>
      <c r="G38" s="173"/>
    </row>
    <row r="39" spans="1:7" s="172" customFormat="1">
      <c r="A39" s="175" t="s">
        <v>250</v>
      </c>
      <c r="B39" s="175" t="s">
        <v>250</v>
      </c>
      <c r="C39" s="176" t="s">
        <v>209</v>
      </c>
      <c r="D39" s="176">
        <v>15</v>
      </c>
      <c r="G39" s="173"/>
    </row>
    <row r="40" spans="1:7" s="172" customFormat="1">
      <c r="A40" s="175" t="s">
        <v>251</v>
      </c>
      <c r="B40" s="175" t="s">
        <v>251</v>
      </c>
      <c r="C40" s="176" t="s">
        <v>209</v>
      </c>
      <c r="D40" s="176">
        <v>3</v>
      </c>
      <c r="G40" s="173"/>
    </row>
    <row r="41" spans="1:7" s="172" customFormat="1">
      <c r="A41" s="175" t="s">
        <v>252</v>
      </c>
      <c r="B41" s="175" t="s">
        <v>252</v>
      </c>
      <c r="C41" s="176" t="s">
        <v>209</v>
      </c>
      <c r="D41" s="176">
        <v>16</v>
      </c>
      <c r="G41" s="173"/>
    </row>
    <row r="42" spans="1:7" s="172" customFormat="1">
      <c r="A42" s="175" t="s">
        <v>253</v>
      </c>
      <c r="B42" s="175" t="s">
        <v>253</v>
      </c>
      <c r="C42" s="176" t="s">
        <v>209</v>
      </c>
      <c r="D42" s="176">
        <v>7</v>
      </c>
      <c r="G42" s="173"/>
    </row>
    <row r="43" spans="1:7" s="172" customFormat="1">
      <c r="A43" s="175" t="s">
        <v>254</v>
      </c>
      <c r="B43" s="175" t="s">
        <v>254</v>
      </c>
      <c r="C43" s="176" t="s">
        <v>209</v>
      </c>
      <c r="D43" s="176">
        <v>15</v>
      </c>
      <c r="G43" s="173"/>
    </row>
    <row r="44" spans="1:7" s="172" customFormat="1">
      <c r="A44" s="175" t="s">
        <v>255</v>
      </c>
      <c r="B44" s="175" t="s">
        <v>255</v>
      </c>
      <c r="C44" s="176" t="s">
        <v>209</v>
      </c>
      <c r="D44" s="176">
        <v>15</v>
      </c>
      <c r="G44" s="173"/>
    </row>
    <row r="45" spans="1:7" s="172" customFormat="1">
      <c r="A45" s="175" t="s">
        <v>256</v>
      </c>
      <c r="B45" s="175" t="s">
        <v>256</v>
      </c>
      <c r="C45" s="176" t="s">
        <v>209</v>
      </c>
      <c r="D45" s="176">
        <v>14</v>
      </c>
      <c r="G45" s="173"/>
    </row>
    <row r="46" spans="1:7" s="172" customFormat="1">
      <c r="A46" s="175" t="s">
        <v>257</v>
      </c>
      <c r="B46" s="175" t="s">
        <v>258</v>
      </c>
      <c r="C46" s="176" t="s">
        <v>209</v>
      </c>
      <c r="D46" s="176">
        <v>10</v>
      </c>
      <c r="G46" s="173"/>
    </row>
    <row r="47" spans="1:7" s="172" customFormat="1">
      <c r="A47" s="175" t="s">
        <v>259</v>
      </c>
      <c r="B47" s="175" t="s">
        <v>260</v>
      </c>
      <c r="C47" s="176" t="s">
        <v>209</v>
      </c>
      <c r="D47" s="176">
        <v>27</v>
      </c>
      <c r="G47" s="173"/>
    </row>
    <row r="48" spans="1:7" s="172" customFormat="1">
      <c r="A48" s="175" t="s">
        <v>261</v>
      </c>
      <c r="B48" s="175" t="s">
        <v>261</v>
      </c>
      <c r="C48" s="176" t="s">
        <v>209</v>
      </c>
      <c r="D48" s="176">
        <v>21</v>
      </c>
      <c r="G48" s="173"/>
    </row>
    <row r="49" spans="1:7" s="172" customFormat="1">
      <c r="A49" s="175" t="s">
        <v>262</v>
      </c>
      <c r="B49" s="175" t="s">
        <v>262</v>
      </c>
      <c r="C49" s="176" t="s">
        <v>209</v>
      </c>
      <c r="D49" s="176">
        <v>11</v>
      </c>
      <c r="G49" s="173"/>
    </row>
    <row r="50" spans="1:7" s="172" customFormat="1">
      <c r="A50" s="175" t="s">
        <v>263</v>
      </c>
      <c r="B50" s="175" t="s">
        <v>263</v>
      </c>
      <c r="C50" s="176" t="s">
        <v>209</v>
      </c>
      <c r="D50" s="176">
        <v>30</v>
      </c>
      <c r="G50" s="173"/>
    </row>
    <row r="51" spans="1:7" s="172" customFormat="1">
      <c r="A51" s="175" t="s">
        <v>264</v>
      </c>
      <c r="B51" s="175" t="s">
        <v>264</v>
      </c>
      <c r="C51" s="176" t="s">
        <v>209</v>
      </c>
      <c r="D51" s="176">
        <v>15</v>
      </c>
      <c r="G51" s="173"/>
    </row>
    <row r="52" spans="1:7" s="172" customFormat="1">
      <c r="A52" s="175" t="s">
        <v>265</v>
      </c>
      <c r="B52" s="175" t="s">
        <v>266</v>
      </c>
      <c r="C52" s="176" t="s">
        <v>209</v>
      </c>
      <c r="D52" s="176">
        <v>15</v>
      </c>
      <c r="G52" s="173"/>
    </row>
    <row r="53" spans="1:7" s="172" customFormat="1">
      <c r="A53" s="175" t="s">
        <v>267</v>
      </c>
      <c r="B53" s="175" t="s">
        <v>267</v>
      </c>
      <c r="C53" s="176" t="s">
        <v>209</v>
      </c>
      <c r="D53" s="176">
        <v>6</v>
      </c>
      <c r="G53" s="173"/>
    </row>
    <row r="54" spans="1:7" s="172" customFormat="1">
      <c r="A54" s="175" t="s">
        <v>268</v>
      </c>
      <c r="B54" s="175" t="s">
        <v>268</v>
      </c>
      <c r="C54" s="176" t="s">
        <v>209</v>
      </c>
      <c r="D54" s="176">
        <v>8</v>
      </c>
      <c r="G54" s="173"/>
    </row>
    <row r="55" spans="1:7" s="172" customFormat="1">
      <c r="A55" s="175" t="s">
        <v>269</v>
      </c>
      <c r="B55" s="175" t="s">
        <v>269</v>
      </c>
      <c r="C55" s="176" t="s">
        <v>209</v>
      </c>
      <c r="D55" s="176">
        <v>16</v>
      </c>
      <c r="G55" s="173"/>
    </row>
    <row r="56" spans="1:7" s="172" customFormat="1">
      <c r="A56" s="175" t="s">
        <v>270</v>
      </c>
      <c r="B56" s="175" t="s">
        <v>270</v>
      </c>
      <c r="C56" s="176" t="s">
        <v>209</v>
      </c>
      <c r="D56" s="176">
        <v>3</v>
      </c>
      <c r="G56" s="173"/>
    </row>
    <row r="57" spans="1:7" s="172" customFormat="1">
      <c r="A57" s="175" t="s">
        <v>271</v>
      </c>
      <c r="B57" s="175" t="s">
        <v>271</v>
      </c>
      <c r="C57" s="176" t="s">
        <v>209</v>
      </c>
      <c r="D57" s="176">
        <v>25</v>
      </c>
      <c r="G57" s="173"/>
    </row>
    <row r="58" spans="1:7" s="172" customFormat="1">
      <c r="A58" s="175" t="s">
        <v>272</v>
      </c>
      <c r="B58" s="175" t="s">
        <v>272</v>
      </c>
      <c r="C58" s="176" t="s">
        <v>209</v>
      </c>
      <c r="D58" s="176">
        <v>20</v>
      </c>
      <c r="G58" s="173"/>
    </row>
    <row r="59" spans="1:7" s="172" customFormat="1">
      <c r="A59" s="175" t="s">
        <v>273</v>
      </c>
      <c r="B59" s="175" t="s">
        <v>273</v>
      </c>
      <c r="C59" s="176" t="s">
        <v>209</v>
      </c>
      <c r="D59" s="176">
        <v>28</v>
      </c>
      <c r="G59" s="173"/>
    </row>
    <row r="60" spans="1:7" s="172" customFormat="1">
      <c r="A60" s="175" t="s">
        <v>274</v>
      </c>
      <c r="B60" s="175" t="s">
        <v>274</v>
      </c>
      <c r="C60" s="176" t="s">
        <v>209</v>
      </c>
      <c r="D60" s="176">
        <v>21</v>
      </c>
      <c r="G60" s="173"/>
    </row>
    <row r="61" spans="1:7" s="172" customFormat="1">
      <c r="A61" s="175" t="s">
        <v>275</v>
      </c>
      <c r="B61" s="175" t="s">
        <v>275</v>
      </c>
      <c r="C61" s="176" t="s">
        <v>209</v>
      </c>
      <c r="D61" s="176">
        <v>27</v>
      </c>
      <c r="G61" s="173"/>
    </row>
    <row r="62" spans="1:7" s="172" customFormat="1">
      <c r="A62" s="175" t="s">
        <v>276</v>
      </c>
      <c r="B62" s="175" t="s">
        <v>277</v>
      </c>
      <c r="C62" s="176" t="s">
        <v>209</v>
      </c>
      <c r="D62" s="176">
        <v>12</v>
      </c>
      <c r="G62" s="173"/>
    </row>
  </sheetData>
  <autoFilter ref="A1:D62" xr:uid="{3FC70D87-804E-3444-87EE-BB73C77CDCEF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13C2D-C8DC-E349-A909-7CDA10C2E4B3}">
  <sheetPr codeName="Planilha5"/>
  <dimension ref="A1:D33"/>
  <sheetViews>
    <sheetView workbookViewId="0">
      <selection activeCell="A2" sqref="A2"/>
    </sheetView>
  </sheetViews>
  <sheetFormatPr defaultColWidth="11.42578125" defaultRowHeight="15"/>
  <cols>
    <col min="1" max="1" width="10.85546875" style="81"/>
    <col min="4" max="4" width="15.28515625" style="81" bestFit="1" customWidth="1"/>
  </cols>
  <sheetData>
    <row r="1" spans="1:4">
      <c r="A1" s="196" t="s">
        <v>176</v>
      </c>
      <c r="B1" s="197" t="s">
        <v>177</v>
      </c>
      <c r="D1" s="203" t="s">
        <v>178</v>
      </c>
    </row>
    <row r="2" spans="1:4">
      <c r="A2" s="198">
        <f>IF(Resumo!$E$4="Siape", 0.018,
  IF(Resumo!$E$4="INSS", 0.0185,
    0.03))</f>
        <v>1.7999999999999999E-2</v>
      </c>
      <c r="B2" s="199">
        <f>IF(A2="", "", A2-0.03%)</f>
        <v>1.7699999999999997E-2</v>
      </c>
      <c r="D2" s="204">
        <f>IF(A2="", "", IF(Resumo!$E$6="Não", A2, B2))</f>
        <v>1.7999999999999999E-2</v>
      </c>
    </row>
    <row r="3" spans="1:4">
      <c r="A3" s="200">
        <f>IF(A2="", "", IF(A2-0.05%&gt;=0.015, A2-0.05%, ""))</f>
        <v>1.7499999999999998E-2</v>
      </c>
      <c r="B3" s="199">
        <f t="shared" ref="B3:B32" si="0">IF(A3="", "", A3-0.03%)</f>
        <v>1.7199999999999997E-2</v>
      </c>
      <c r="D3" s="204">
        <f>IF(A3="", "", IF(Resumo!$E$6="Não", A3, B3))</f>
        <v>1.7499999999999998E-2</v>
      </c>
    </row>
    <row r="4" spans="1:4">
      <c r="A4" s="200">
        <f t="shared" ref="A4:A32" si="1">IF(A3="", "", IF(A3-0.05%&gt;=0.015, A3-0.05%, ""))</f>
        <v>1.6999999999999998E-2</v>
      </c>
      <c r="B4" s="199">
        <f t="shared" si="0"/>
        <v>1.6699999999999996E-2</v>
      </c>
      <c r="D4" s="204">
        <f>IF(A4="", "", IF(Resumo!$E$6="Não", A4, B4))</f>
        <v>1.6999999999999998E-2</v>
      </c>
    </row>
    <row r="5" spans="1:4">
      <c r="A5" s="200">
        <f t="shared" si="1"/>
        <v>1.6499999999999997E-2</v>
      </c>
      <c r="B5" s="199">
        <f t="shared" si="0"/>
        <v>1.6199999999999996E-2</v>
      </c>
      <c r="D5" s="204">
        <f>IF(A5="", "", IF(Resumo!$E$6="Não", A5, B5))</f>
        <v>1.6499999999999997E-2</v>
      </c>
    </row>
    <row r="6" spans="1:4">
      <c r="A6" s="200">
        <f t="shared" si="1"/>
        <v>1.5999999999999997E-2</v>
      </c>
      <c r="B6" s="199">
        <f t="shared" si="0"/>
        <v>1.5699999999999995E-2</v>
      </c>
      <c r="D6" s="204">
        <f>IF(A6="", "", IF(Resumo!$E$6="Não", A6, B6))</f>
        <v>1.5999999999999997E-2</v>
      </c>
    </row>
    <row r="7" spans="1:4">
      <c r="A7" s="200">
        <f t="shared" si="1"/>
        <v>1.5499999999999996E-2</v>
      </c>
      <c r="B7" s="199">
        <f t="shared" si="0"/>
        <v>1.5199999999999997E-2</v>
      </c>
      <c r="D7" s="204">
        <f>IF(A7="", "", IF(Resumo!$E$6="Não", A7, B7))</f>
        <v>1.5499999999999996E-2</v>
      </c>
    </row>
    <row r="8" spans="1:4">
      <c r="A8" s="200">
        <f t="shared" si="1"/>
        <v>1.4999999999999996E-2</v>
      </c>
      <c r="B8" s="199">
        <f t="shared" si="0"/>
        <v>1.4699999999999996E-2</v>
      </c>
      <c r="D8" s="204">
        <f>IF(A8="", "", IF(Resumo!$E$6="Não", A8, B8))</f>
        <v>1.4999999999999996E-2</v>
      </c>
    </row>
    <row r="9" spans="1:4">
      <c r="A9" s="200" t="str">
        <f t="shared" si="1"/>
        <v/>
      </c>
      <c r="B9" s="199" t="str">
        <f t="shared" si="0"/>
        <v/>
      </c>
      <c r="D9" s="204" t="str">
        <f>IF(A9="", "", IF(Resumo!$E$6="Não", A9, B9))</f>
        <v/>
      </c>
    </row>
    <row r="10" spans="1:4">
      <c r="A10" s="200" t="str">
        <f t="shared" si="1"/>
        <v/>
      </c>
      <c r="B10" s="199" t="str">
        <f t="shared" si="0"/>
        <v/>
      </c>
      <c r="D10" s="204" t="str">
        <f>IF(A10="", "", IF(Resumo!$E$6="Não", A10, B10))</f>
        <v/>
      </c>
    </row>
    <row r="11" spans="1:4">
      <c r="A11" s="200" t="str">
        <f t="shared" si="1"/>
        <v/>
      </c>
      <c r="B11" s="199" t="str">
        <f t="shared" si="0"/>
        <v/>
      </c>
      <c r="D11" s="204" t="str">
        <f>IF(A11="", "", IF(Resumo!$E$6="Não", A11, B11))</f>
        <v/>
      </c>
    </row>
    <row r="12" spans="1:4">
      <c r="A12" s="200" t="str">
        <f t="shared" si="1"/>
        <v/>
      </c>
      <c r="B12" s="199" t="str">
        <f t="shared" si="0"/>
        <v/>
      </c>
      <c r="D12" s="204" t="str">
        <f>IF(A12="", "", IF(Resumo!$E$6="Não", A12, B12))</f>
        <v/>
      </c>
    </row>
    <row r="13" spans="1:4">
      <c r="A13" s="200" t="str">
        <f t="shared" si="1"/>
        <v/>
      </c>
      <c r="B13" s="199" t="str">
        <f t="shared" si="0"/>
        <v/>
      </c>
      <c r="D13" s="204" t="str">
        <f>IF(A13="", "", IF(Resumo!$E$6="Não", A13, B13))</f>
        <v/>
      </c>
    </row>
    <row r="14" spans="1:4">
      <c r="A14" s="200" t="str">
        <f t="shared" si="1"/>
        <v/>
      </c>
      <c r="B14" s="199" t="str">
        <f t="shared" si="0"/>
        <v/>
      </c>
      <c r="D14" s="204" t="str">
        <f>IF(A14="", "", IF(Resumo!$E$6="Não", A14, B14))</f>
        <v/>
      </c>
    </row>
    <row r="15" spans="1:4">
      <c r="A15" s="200" t="str">
        <f t="shared" si="1"/>
        <v/>
      </c>
      <c r="B15" s="199" t="str">
        <f t="shared" si="0"/>
        <v/>
      </c>
      <c r="D15" s="204" t="str">
        <f>IF(A15="", "", IF(Resumo!$E$6="Não", A15, B15))</f>
        <v/>
      </c>
    </row>
    <row r="16" spans="1:4">
      <c r="A16" s="200" t="str">
        <f t="shared" si="1"/>
        <v/>
      </c>
      <c r="B16" s="199" t="str">
        <f t="shared" si="0"/>
        <v/>
      </c>
      <c r="D16" s="204" t="str">
        <f>IF(A16="", "", IF(Resumo!$E$6="Não", A16, B16))</f>
        <v/>
      </c>
    </row>
    <row r="17" spans="1:4">
      <c r="A17" s="200" t="str">
        <f t="shared" si="1"/>
        <v/>
      </c>
      <c r="B17" s="199" t="str">
        <f t="shared" si="0"/>
        <v/>
      </c>
      <c r="D17" s="204" t="str">
        <f>IF(A17="", "", IF(Resumo!$E$6="Não", A17, B17))</f>
        <v/>
      </c>
    </row>
    <row r="18" spans="1:4">
      <c r="A18" s="200" t="str">
        <f t="shared" si="1"/>
        <v/>
      </c>
      <c r="B18" s="199" t="str">
        <f t="shared" si="0"/>
        <v/>
      </c>
      <c r="D18" s="204" t="str">
        <f>IF(A18="", "", IF(Resumo!$E$6="Não", A18, B18))</f>
        <v/>
      </c>
    </row>
    <row r="19" spans="1:4">
      <c r="A19" s="200" t="str">
        <f t="shared" si="1"/>
        <v/>
      </c>
      <c r="B19" s="199" t="str">
        <f t="shared" si="0"/>
        <v/>
      </c>
      <c r="D19" s="204" t="str">
        <f>IF(A19="", "", IF(Resumo!$E$6="Não", A19, B19))</f>
        <v/>
      </c>
    </row>
    <row r="20" spans="1:4">
      <c r="A20" s="200" t="str">
        <f t="shared" si="1"/>
        <v/>
      </c>
      <c r="B20" s="199" t="str">
        <f t="shared" si="0"/>
        <v/>
      </c>
      <c r="D20" s="204" t="str">
        <f>IF(A20="", "", IF(Resumo!$E$6="Não", A20, B20))</f>
        <v/>
      </c>
    </row>
    <row r="21" spans="1:4">
      <c r="A21" s="200" t="str">
        <f t="shared" si="1"/>
        <v/>
      </c>
      <c r="B21" s="199" t="str">
        <f t="shared" si="0"/>
        <v/>
      </c>
      <c r="D21" s="204" t="str">
        <f>IF(A21="", "", IF(Resumo!$E$6="Não", A21, B21))</f>
        <v/>
      </c>
    </row>
    <row r="22" spans="1:4">
      <c r="A22" s="200" t="str">
        <f t="shared" si="1"/>
        <v/>
      </c>
      <c r="B22" s="199" t="str">
        <f t="shared" si="0"/>
        <v/>
      </c>
      <c r="D22" s="204" t="str">
        <f>IF(A22="", "", IF(Resumo!$E$6="Não", A22, B22))</f>
        <v/>
      </c>
    </row>
    <row r="23" spans="1:4">
      <c r="A23" s="200" t="str">
        <f t="shared" si="1"/>
        <v/>
      </c>
      <c r="B23" s="199" t="str">
        <f t="shared" si="0"/>
        <v/>
      </c>
      <c r="D23" s="204" t="str">
        <f>IF(A23="", "", IF(Resumo!$E$6="Não", A23, B23))</f>
        <v/>
      </c>
    </row>
    <row r="24" spans="1:4">
      <c r="A24" s="200" t="str">
        <f t="shared" si="1"/>
        <v/>
      </c>
      <c r="B24" s="199" t="str">
        <f t="shared" si="0"/>
        <v/>
      </c>
      <c r="D24" s="204" t="str">
        <f>IF(A24="", "", IF(Resumo!$E$6="Não", A24, B24))</f>
        <v/>
      </c>
    </row>
    <row r="25" spans="1:4">
      <c r="A25" s="200" t="str">
        <f t="shared" si="1"/>
        <v/>
      </c>
      <c r="B25" s="199" t="str">
        <f t="shared" si="0"/>
        <v/>
      </c>
      <c r="D25" s="204" t="str">
        <f>IF(A25="", "", IF(Resumo!$E$6="Não", A25, B25))</f>
        <v/>
      </c>
    </row>
    <row r="26" spans="1:4">
      <c r="A26" s="200" t="str">
        <f t="shared" si="1"/>
        <v/>
      </c>
      <c r="B26" s="199" t="str">
        <f t="shared" si="0"/>
        <v/>
      </c>
      <c r="D26" s="204" t="str">
        <f>IF(A26="", "", IF(Resumo!$E$6="Não", A26, B26))</f>
        <v/>
      </c>
    </row>
    <row r="27" spans="1:4">
      <c r="A27" s="200" t="str">
        <f t="shared" si="1"/>
        <v/>
      </c>
      <c r="B27" s="199" t="str">
        <f t="shared" si="0"/>
        <v/>
      </c>
      <c r="D27" s="204" t="str">
        <f>IF(A27="", "", IF(Resumo!$E$6="Não", A27, B27))</f>
        <v/>
      </c>
    </row>
    <row r="28" spans="1:4">
      <c r="A28" s="200" t="str">
        <f t="shared" si="1"/>
        <v/>
      </c>
      <c r="B28" s="199" t="str">
        <f t="shared" si="0"/>
        <v/>
      </c>
      <c r="D28" s="204" t="str">
        <f>IF(A28="", "", IF(Resumo!$E$6="Não", A28, B28))</f>
        <v/>
      </c>
    </row>
    <row r="29" spans="1:4">
      <c r="A29" s="200" t="str">
        <f t="shared" si="1"/>
        <v/>
      </c>
      <c r="B29" s="199" t="str">
        <f t="shared" si="0"/>
        <v/>
      </c>
      <c r="D29" s="204" t="str">
        <f>IF(A29="", "", IF(Resumo!$E$6="Não", A29, B29))</f>
        <v/>
      </c>
    </row>
    <row r="30" spans="1:4">
      <c r="A30" s="200" t="str">
        <f t="shared" si="1"/>
        <v/>
      </c>
      <c r="B30" s="199" t="str">
        <f t="shared" si="0"/>
        <v/>
      </c>
      <c r="D30" s="204" t="str">
        <f>IF(A30="", "", IF(Resumo!$E$6="Não", A30, B30))</f>
        <v/>
      </c>
    </row>
    <row r="31" spans="1:4">
      <c r="A31" s="200" t="str">
        <f t="shared" si="1"/>
        <v/>
      </c>
      <c r="B31" s="199" t="str">
        <f t="shared" si="0"/>
        <v/>
      </c>
      <c r="D31" s="204" t="str">
        <f>IF(A31="", "", IF(Resumo!$E$6="Não", A31, B31))</f>
        <v/>
      </c>
    </row>
    <row r="32" spans="1:4" ht="15.75" thickBot="1">
      <c r="A32" s="201" t="str">
        <f t="shared" si="1"/>
        <v/>
      </c>
      <c r="B32" s="202" t="str">
        <f t="shared" si="0"/>
        <v/>
      </c>
      <c r="D32" s="205" t="str">
        <f>IF(A32="", "", IF(Resumo!$E$6="Não", A32, B32))</f>
        <v/>
      </c>
    </row>
    <row r="33" spans="1:1">
      <c r="A33" s="144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O86"/>
  <sheetViews>
    <sheetView showGridLines="0" zoomScale="140" zoomScaleNormal="140" workbookViewId="0">
      <pane ySplit="1" topLeftCell="A43" activePane="bottomLeft" state="frozen"/>
      <selection activeCell="A6" sqref="A6"/>
      <selection pane="bottomLeft" activeCell="A6" sqref="A6"/>
    </sheetView>
  </sheetViews>
  <sheetFormatPr defaultColWidth="9.140625" defaultRowHeight="15"/>
  <cols>
    <col min="1" max="1" width="22.28515625" customWidth="1"/>
    <col min="2" max="2" width="12.42578125" bestFit="1" customWidth="1"/>
    <col min="3" max="3" width="2.140625" customWidth="1"/>
    <col min="4" max="4" width="18.7109375" bestFit="1" customWidth="1"/>
    <col min="5" max="5" width="12.42578125" bestFit="1" customWidth="1"/>
    <col min="6" max="6" width="2.140625" customWidth="1"/>
    <col min="7" max="7" width="24.85546875" customWidth="1"/>
    <col min="8" max="8" width="9.42578125" customWidth="1"/>
    <col min="9" max="9" width="2.140625" customWidth="1"/>
    <col min="10" max="10" width="28.7109375" customWidth="1"/>
    <col min="11" max="11" width="13.42578125" customWidth="1"/>
    <col min="12" max="12" width="2.140625" customWidth="1"/>
    <col min="13" max="13" width="18.7109375" customWidth="1"/>
    <col min="14" max="14" width="9.42578125" customWidth="1"/>
    <col min="15" max="15" width="2.140625" customWidth="1"/>
    <col min="16" max="16" width="32.7109375" customWidth="1"/>
  </cols>
  <sheetData>
    <row r="1" spans="1:15">
      <c r="A1" s="217" t="s">
        <v>0</v>
      </c>
      <c r="B1" s="217"/>
      <c r="C1" s="2"/>
      <c r="D1" s="217" t="s">
        <v>1</v>
      </c>
      <c r="E1" s="217"/>
      <c r="F1" s="3"/>
      <c r="G1" s="217" t="s">
        <v>2</v>
      </c>
      <c r="H1" s="217"/>
      <c r="I1" s="3"/>
      <c r="J1" s="217" t="s">
        <v>3</v>
      </c>
      <c r="K1" s="217"/>
      <c r="L1" s="3"/>
      <c r="M1" s="217" t="s">
        <v>4</v>
      </c>
      <c r="N1" s="217"/>
      <c r="O1" s="3"/>
    </row>
    <row r="2" spans="1:15">
      <c r="A2" s="4" t="s">
        <v>5</v>
      </c>
      <c r="B2" s="80">
        <f>+IF(AND(Resumo!E18&gt;0,OR(Resumo!E23&gt;0,Resumo!E28&gt;0,Resumo!E33&gt;0)),Resumo!E20+Resumo!E25+Resumo!E30+Resumo!E35,Resumo!E12)</f>
        <v>3000</v>
      </c>
      <c r="C2" s="6"/>
      <c r="D2" s="7" t="s">
        <v>6</v>
      </c>
      <c r="E2" s="8">
        <v>18</v>
      </c>
      <c r="F2" s="3"/>
      <c r="G2" t="s">
        <v>7</v>
      </c>
      <c r="H2" s="9">
        <v>0</v>
      </c>
      <c r="I2" s="3"/>
      <c r="J2" s="10" t="s">
        <v>8</v>
      </c>
      <c r="K2" s="11">
        <f>+B2</f>
        <v>3000</v>
      </c>
      <c r="L2" s="3"/>
      <c r="M2" s="10" t="s">
        <v>9</v>
      </c>
      <c r="N2" s="11">
        <f ca="1">XNPV('Dados de entrada'!H10,INDIRECT("'Fluxo detalhado'!R3:R"&amp;B10+3),INDIRECT("'Fluxo detalhado'!B3:B"&amp;B10+3))</f>
        <v>135284.92404697923</v>
      </c>
      <c r="O2" s="3"/>
    </row>
    <row r="3" spans="1:15">
      <c r="A3" s="4" t="s">
        <v>10</v>
      </c>
      <c r="B3" s="80">
        <f>B23+B32+B41+B50</f>
        <v>90000.018200000006</v>
      </c>
      <c r="C3" s="6"/>
      <c r="D3" s="4" t="s">
        <v>11</v>
      </c>
      <c r="E3" s="12">
        <v>0</v>
      </c>
      <c r="F3" s="3"/>
      <c r="G3" t="s">
        <v>12</v>
      </c>
      <c r="H3" s="9">
        <v>531.02</v>
      </c>
      <c r="I3" s="3"/>
      <c r="J3" s="10" t="s">
        <v>13</v>
      </c>
      <c r="K3" s="13">
        <f ca="1">((B2/(B6/(1-(1/((1+B6)^B10)))))/((1+B6)^((B9-30)/30)))</f>
        <v>113220.07775748768</v>
      </c>
      <c r="L3" s="3"/>
      <c r="M3" s="10" t="s">
        <v>14</v>
      </c>
      <c r="N3" s="14">
        <f ca="1">XIRR(INDIRECT("'Fluxo detalhado'!r3:r"&amp;B10+3),INDIRECT("'Fluxo detalhado'!B3:B"&amp;B10+3))</f>
        <v>0.32168387770652784</v>
      </c>
      <c r="O3" s="3"/>
    </row>
    <row r="4" spans="1:15">
      <c r="A4" s="4" t="s">
        <v>15</v>
      </c>
      <c r="B4" s="80">
        <v>0</v>
      </c>
      <c r="C4" s="15"/>
      <c r="D4" s="4" t="s">
        <v>16</v>
      </c>
      <c r="E4" s="12">
        <v>2.0199999999999999E-2</v>
      </c>
      <c r="F4" s="3"/>
      <c r="G4" t="s">
        <v>17</v>
      </c>
      <c r="H4" s="9">
        <f>H2+H3</f>
        <v>531.02</v>
      </c>
      <c r="I4" s="3"/>
      <c r="J4" s="10" t="s">
        <v>18</v>
      </c>
      <c r="K4" s="13">
        <f ca="1">SUM('Fluxo detalhado'!I4:I147)</f>
        <v>776.54118553148055</v>
      </c>
      <c r="L4" s="3"/>
      <c r="M4" s="10" t="s">
        <v>19</v>
      </c>
      <c r="N4" s="14">
        <f ca="1">(1+N3)/(1+'Dados de entrada'!H10)-1</f>
        <v>0.23556499738854608</v>
      </c>
      <c r="O4" s="3"/>
    </row>
    <row r="5" spans="1:15">
      <c r="A5" s="4" t="s">
        <v>20</v>
      </c>
      <c r="B5" s="5">
        <v>0</v>
      </c>
      <c r="C5" s="16"/>
      <c r="D5" s="4" t="s">
        <v>21</v>
      </c>
      <c r="E5" s="12">
        <v>6.9699999999999998E-2</v>
      </c>
      <c r="F5" s="3"/>
      <c r="G5" t="s">
        <v>22</v>
      </c>
      <c r="H5" s="17">
        <v>0</v>
      </c>
      <c r="I5" s="3"/>
      <c r="J5" s="18" t="s">
        <v>23</v>
      </c>
      <c r="K5" s="22">
        <f ca="1">((E55-K4)/(1+B14))*B14</f>
        <v>0</v>
      </c>
      <c r="L5" s="3"/>
      <c r="M5" s="19"/>
      <c r="N5" s="19"/>
      <c r="O5" s="3"/>
    </row>
    <row r="6" spans="1:15">
      <c r="A6" s="4" t="s">
        <v>24</v>
      </c>
      <c r="B6" s="117">
        <f ca="1">B53</f>
        <v>2.5202067320272636E-2</v>
      </c>
      <c r="C6" s="16"/>
      <c r="D6" s="4" t="s">
        <v>25</v>
      </c>
      <c r="E6" s="12">
        <v>1</v>
      </c>
      <c r="F6" s="3"/>
      <c r="G6" t="s">
        <v>26</v>
      </c>
      <c r="H6" s="20">
        <v>0</v>
      </c>
      <c r="I6" s="3"/>
      <c r="J6" s="21" t="str">
        <f>A5</f>
        <v>Tarifas</v>
      </c>
      <c r="K6" s="22">
        <f>B5</f>
        <v>0</v>
      </c>
      <c r="L6" s="3"/>
      <c r="O6" s="3"/>
    </row>
    <row r="7" spans="1:15">
      <c r="A7" s="4" t="s">
        <v>27</v>
      </c>
      <c r="B7" s="23">
        <f ca="1">Resumo!E7</f>
        <v>46212</v>
      </c>
      <c r="C7" s="3"/>
      <c r="D7" s="4" t="s">
        <v>28</v>
      </c>
      <c r="E7" s="24" t="s">
        <v>29</v>
      </c>
      <c r="F7" s="3"/>
      <c r="G7" t="s">
        <v>30</v>
      </c>
      <c r="H7" s="25">
        <f>'Dados de entrada'!E12</f>
        <v>0</v>
      </c>
      <c r="I7" s="3"/>
      <c r="J7" s="21" t="s">
        <v>31</v>
      </c>
      <c r="K7" s="22">
        <f>B3+B4</f>
        <v>90000.018200000006</v>
      </c>
      <c r="L7" s="3"/>
      <c r="O7" s="3"/>
    </row>
    <row r="8" spans="1:15">
      <c r="A8" s="4" t="s">
        <v>32</v>
      </c>
      <c r="B8" s="23">
        <f>Resumo!E8</f>
        <v>46241</v>
      </c>
      <c r="C8" s="3"/>
      <c r="D8" s="4" t="s">
        <v>33</v>
      </c>
      <c r="E8" s="24" t="s">
        <v>34</v>
      </c>
      <c r="F8" s="3"/>
      <c r="G8" t="str">
        <f>'Dados de entrada'!D5</f>
        <v>CDI Curva (a.a.)</v>
      </c>
      <c r="H8" s="26">
        <f>'Dados de entrada'!E5</f>
        <v>6.9699999999999998E-2</v>
      </c>
      <c r="I8" s="3"/>
      <c r="J8" s="21" t="s">
        <v>35</v>
      </c>
      <c r="K8" s="22">
        <f ca="1">K3-K4-K6-K7-K5</f>
        <v>22443.518371956205</v>
      </c>
      <c r="L8" s="3"/>
      <c r="O8" s="3"/>
    </row>
    <row r="9" spans="1:15">
      <c r="A9" s="4" t="s">
        <v>36</v>
      </c>
      <c r="B9" s="4">
        <f ca="1">DAYS360(B7,B8)</f>
        <v>28</v>
      </c>
      <c r="C9" s="27"/>
      <c r="D9" s="4" t="s">
        <v>37</v>
      </c>
      <c r="E9" s="12">
        <v>0</v>
      </c>
      <c r="F9" s="3"/>
      <c r="G9" t="str">
        <f>'Dados de entrada'!D6</f>
        <v>Custo Curva (% CDI)</v>
      </c>
      <c r="H9" s="26">
        <f>'Dados de entrada'!E6</f>
        <v>1</v>
      </c>
      <c r="I9" s="3"/>
      <c r="J9" s="21" t="str">
        <f>A13</f>
        <v>Regularização contratos</v>
      </c>
      <c r="K9" s="28">
        <f>B13</f>
        <v>0</v>
      </c>
      <c r="L9" s="3"/>
      <c r="M9" s="29">
        <f ca="1">K3-K4-K5-K6</f>
        <v>112443.53657195621</v>
      </c>
      <c r="O9" s="3"/>
    </row>
    <row r="10" spans="1:15">
      <c r="A10" s="4" t="s">
        <v>38</v>
      </c>
      <c r="B10" s="118">
        <f>Resumo!E10</f>
        <v>120</v>
      </c>
      <c r="C10" s="15"/>
      <c r="D10" s="4" t="s">
        <v>39</v>
      </c>
      <c r="E10" s="12">
        <v>0</v>
      </c>
      <c r="F10" s="3"/>
      <c r="G10" t="s">
        <v>40</v>
      </c>
      <c r="H10" s="30">
        <f>H8*H9</f>
        <v>6.9699999999999998E-2</v>
      </c>
      <c r="I10" s="3"/>
      <c r="J10" s="10" t="s">
        <v>41</v>
      </c>
      <c r="K10" s="13">
        <f ca="1">K8-K9</f>
        <v>22443.518371956205</v>
      </c>
      <c r="L10" s="3"/>
      <c r="O10" s="3"/>
    </row>
    <row r="11" spans="1:15">
      <c r="A11" s="4" t="s">
        <v>42</v>
      </c>
      <c r="B11" s="31">
        <v>8.2000000000000001E-5</v>
      </c>
      <c r="C11" s="3"/>
      <c r="D11" s="4" t="s">
        <v>43</v>
      </c>
      <c r="E11" s="8">
        <v>0</v>
      </c>
      <c r="F11" s="3"/>
      <c r="G11" s="32" t="str">
        <f>D14</f>
        <v>Despesas com RCO</v>
      </c>
      <c r="H11" s="33">
        <f>IF(B4=0,0,E14)</f>
        <v>0</v>
      </c>
      <c r="I11" s="3"/>
      <c r="J11" s="10" t="s">
        <v>44</v>
      </c>
      <c r="K11" s="34">
        <f ca="1">XIRR(INDIRECT("'Fluxo detalhado'!K3:K"&amp;B10+3),INDIRECT("'Fluxo detalhado'!B3:B"&amp;B10+3))</f>
        <v>0.34748716950416569</v>
      </c>
      <c r="L11" s="3"/>
      <c r="O11" s="3"/>
    </row>
    <row r="12" spans="1:15">
      <c r="A12" s="4" t="s">
        <v>45</v>
      </c>
      <c r="B12" s="31">
        <v>3.8E-3</v>
      </c>
      <c r="C12" s="3"/>
      <c r="D12" s="4" t="s">
        <v>46</v>
      </c>
      <c r="E12" s="35">
        <v>0</v>
      </c>
      <c r="F12" s="3"/>
      <c r="I12" s="3"/>
      <c r="J12" s="21" t="s">
        <v>47</v>
      </c>
      <c r="K12" s="36">
        <f ca="1">((((K11)+1)^(1/12))-1)</f>
        <v>2.5164880321610683E-2</v>
      </c>
      <c r="L12" s="3"/>
      <c r="M12" s="9"/>
      <c r="O12" s="3"/>
    </row>
    <row r="13" spans="1:15">
      <c r="A13" s="4" t="s">
        <v>48</v>
      </c>
      <c r="B13" s="35">
        <v>0</v>
      </c>
      <c r="C13" s="3"/>
      <c r="D13" s="4" t="s">
        <v>49</v>
      </c>
      <c r="E13" s="37">
        <f ca="1">IF(E11=1,K8,K8+B4)</f>
        <v>22443.518371956205</v>
      </c>
      <c r="F13" s="3"/>
      <c r="H13" s="9"/>
      <c r="I13" s="3"/>
      <c r="J13" s="10" t="s">
        <v>50</v>
      </c>
      <c r="K13" s="34">
        <f ca="1">XIRR(INDIRECT("'Fluxo detalhado'!J3:J"&amp;B10+3),INDIRECT("'Fluxo detalhado'!B3:B"&amp;B10+3))</f>
        <v>0.35074309706687934</v>
      </c>
      <c r="L13" s="3"/>
      <c r="O13" s="3"/>
    </row>
    <row r="14" spans="1:15">
      <c r="A14" s="4" t="s">
        <v>51</v>
      </c>
      <c r="B14" s="38">
        <f>+IF(Resumo!$E$6="Sim",$B$57,0)</f>
        <v>0</v>
      </c>
      <c r="C14" s="3"/>
      <c r="D14" s="32" t="s">
        <v>52</v>
      </c>
      <c r="E14" s="39">
        <v>0</v>
      </c>
      <c r="F14" s="3"/>
      <c r="I14" s="3"/>
      <c r="J14" s="10" t="s">
        <v>170</v>
      </c>
      <c r="K14" s="22">
        <f ca="1">+SUM(B23:B24,B32:B33,B41:B42,B50:B51)</f>
        <v>113079.34990945608</v>
      </c>
      <c r="L14" s="3"/>
      <c r="O14" s="3"/>
    </row>
    <row r="15" spans="1:15">
      <c r="C15" s="3"/>
      <c r="D15" s="4" t="s">
        <v>53</v>
      </c>
      <c r="E15" s="40">
        <f ca="1">ROUND(SUM('Fluxo detalhado'!U4:U122)/(K3-B3),0)</f>
        <v>1016</v>
      </c>
      <c r="F15" s="3"/>
      <c r="I15" s="3"/>
      <c r="L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1">
      <c r="A17" t="s">
        <v>117</v>
      </c>
    </row>
    <row r="18" spans="1:11">
      <c r="A18" s="76" t="s">
        <v>118</v>
      </c>
      <c r="B18" s="108">
        <f>Resumo!E19</f>
        <v>50</v>
      </c>
      <c r="D18" s="77"/>
      <c r="K18" s="9">
        <f ca="1">+K3-K7</f>
        <v>23220.059557487679</v>
      </c>
    </row>
    <row r="19" spans="1:11">
      <c r="A19" s="76" t="s">
        <v>119</v>
      </c>
      <c r="B19" s="109">
        <f>RATE(B18,-B20,B23)</f>
        <v>2.2230321626973033E-2</v>
      </c>
      <c r="D19" s="91">
        <f>(1+B19)^12-1</f>
        <v>0.30192242450438367</v>
      </c>
      <c r="K19" s="9"/>
    </row>
    <row r="20" spans="1:11">
      <c r="A20" s="76" t="s">
        <v>120</v>
      </c>
      <c r="B20" s="110">
        <f>+Resumo!E20</f>
        <v>3000</v>
      </c>
      <c r="D20" s="93">
        <v>4740.8100000000004</v>
      </c>
      <c r="G20" s="92">
        <f>+RATE(29,-712.96,16455.25)</f>
        <v>1.5928655434197379E-2</v>
      </c>
      <c r="H20" s="218" t="s">
        <v>54</v>
      </c>
      <c r="I20" s="218"/>
      <c r="J20" s="41">
        <f ca="1">(B6/(1-(1/((1+B6)^ B10))))*((K3-B3)*((1+B6)^((B9-30)/30)))</f>
        <v>615.26347669246445</v>
      </c>
    </row>
    <row r="21" spans="1:11">
      <c r="A21" s="76" t="s">
        <v>121</v>
      </c>
      <c r="B21" s="110">
        <f>+Resumo!E12</f>
        <v>3000</v>
      </c>
      <c r="D21" s="94" t="e">
        <f>+RATE(B18,-B20,D20)</f>
        <v>#NUM!</v>
      </c>
    </row>
    <row r="22" spans="1:11">
      <c r="A22" s="76" t="s">
        <v>122</v>
      </c>
      <c r="B22" s="109">
        <f>+Resumo!E11</f>
        <v>2.7999999999999997E-2</v>
      </c>
      <c r="D22" s="91">
        <f>(1+B22)^12-1</f>
        <v>0.39289178147385528</v>
      </c>
      <c r="J22" s="78"/>
    </row>
    <row r="23" spans="1:11">
      <c r="A23" s="76" t="s">
        <v>123</v>
      </c>
      <c r="B23" s="78">
        <f>+Resumo!E18</f>
        <v>90000</v>
      </c>
      <c r="D23" s="91"/>
    </row>
    <row r="24" spans="1:11">
      <c r="A24" s="76" t="s">
        <v>124</v>
      </c>
      <c r="B24" s="79">
        <f ca="1">+-'Fluxo detalhado'!AC3</f>
        <v>23079.331709456084</v>
      </c>
      <c r="D24" s="91"/>
    </row>
    <row r="25" spans="1:11">
      <c r="B25" s="79"/>
      <c r="D25" s="91"/>
    </row>
    <row r="26" spans="1:11">
      <c r="A26" t="s">
        <v>125</v>
      </c>
      <c r="B26" s="74"/>
      <c r="D26" s="91"/>
    </row>
    <row r="27" spans="1:11">
      <c r="A27" s="76" t="s">
        <v>118</v>
      </c>
      <c r="B27" s="108">
        <f>+Resumo!E24</f>
        <v>97939.922451597886</v>
      </c>
      <c r="D27" s="91"/>
    </row>
    <row r="28" spans="1:11">
      <c r="A28" s="76" t="s">
        <v>119</v>
      </c>
      <c r="B28" s="109" t="e">
        <f>RATE(B27,-B29,B32)</f>
        <v>#NUM!</v>
      </c>
      <c r="D28" s="91"/>
    </row>
    <row r="29" spans="1:11">
      <c r="A29" s="76" t="s">
        <v>120</v>
      </c>
      <c r="B29" s="110">
        <f>+Resumo!E25</f>
        <v>0</v>
      </c>
      <c r="D29" s="91"/>
    </row>
    <row r="30" spans="1:11">
      <c r="A30" s="76" t="s">
        <v>121</v>
      </c>
      <c r="B30" s="110">
        <f>+Resumo!E25</f>
        <v>0</v>
      </c>
      <c r="D30" s="91"/>
    </row>
    <row r="31" spans="1:11">
      <c r="A31" s="76" t="s">
        <v>122</v>
      </c>
      <c r="B31" s="109"/>
      <c r="D31" s="91">
        <f>(1+B31)^12-1</f>
        <v>0</v>
      </c>
    </row>
    <row r="32" spans="1:11">
      <c r="A32" s="76" t="s">
        <v>123</v>
      </c>
      <c r="B32" s="78">
        <f>+Resumo!E23</f>
        <v>1.8200000000000001E-2</v>
      </c>
    </row>
    <row r="33" spans="1:4">
      <c r="A33" s="76" t="s">
        <v>124</v>
      </c>
      <c r="B33" s="79">
        <f ca="1">-'Fluxo detalhado'!AF3</f>
        <v>0</v>
      </c>
    </row>
    <row r="34" spans="1:4">
      <c r="A34" s="76"/>
      <c r="B34" s="79"/>
    </row>
    <row r="35" spans="1:4">
      <c r="A35" t="s">
        <v>171</v>
      </c>
      <c r="B35" s="74"/>
    </row>
    <row r="36" spans="1:4">
      <c r="A36" s="76" t="s">
        <v>118</v>
      </c>
      <c r="B36" s="108">
        <f>+Resumo!E29</f>
        <v>0</v>
      </c>
    </row>
    <row r="37" spans="1:4">
      <c r="A37" s="76" t="s">
        <v>119</v>
      </c>
      <c r="B37" s="109" t="e">
        <f>RATE(B36,-B38,B41)</f>
        <v>#NUM!</v>
      </c>
    </row>
    <row r="38" spans="1:4">
      <c r="A38" s="76" t="s">
        <v>120</v>
      </c>
      <c r="B38" s="110">
        <f>+Resumo!E30</f>
        <v>0</v>
      </c>
    </row>
    <row r="39" spans="1:4">
      <c r="A39" s="76" t="s">
        <v>121</v>
      </c>
      <c r="B39" s="110">
        <f>B38</f>
        <v>0</v>
      </c>
    </row>
    <row r="40" spans="1:4">
      <c r="A40" s="76" t="s">
        <v>122</v>
      </c>
      <c r="B40" s="109"/>
      <c r="D40" s="91">
        <f>(1+B40)^12-1</f>
        <v>0</v>
      </c>
    </row>
    <row r="41" spans="1:4">
      <c r="A41" s="76" t="s">
        <v>123</v>
      </c>
      <c r="B41" s="78">
        <f>+Resumo!E28</f>
        <v>0</v>
      </c>
    </row>
    <row r="42" spans="1:4">
      <c r="A42" s="76" t="s">
        <v>124</v>
      </c>
      <c r="B42" s="79">
        <f ca="1">+-'Fluxo detalhado'!AI3</f>
        <v>0</v>
      </c>
    </row>
    <row r="43" spans="1:4">
      <c r="A43" s="76"/>
      <c r="B43" s="79"/>
    </row>
    <row r="44" spans="1:4">
      <c r="A44" t="s">
        <v>172</v>
      </c>
      <c r="B44" s="74"/>
    </row>
    <row r="45" spans="1:4">
      <c r="A45" s="76" t="s">
        <v>118</v>
      </c>
      <c r="B45" s="108">
        <f>+Resumo!E34</f>
        <v>0</v>
      </c>
    </row>
    <row r="46" spans="1:4">
      <c r="A46" s="76" t="s">
        <v>119</v>
      </c>
      <c r="B46" s="109" t="e">
        <f>RATE(B45,-B47,B50)</f>
        <v>#NUM!</v>
      </c>
    </row>
    <row r="47" spans="1:4">
      <c r="A47" s="76" t="s">
        <v>120</v>
      </c>
      <c r="B47" s="110">
        <f>+Resumo!E35</f>
        <v>0</v>
      </c>
    </row>
    <row r="48" spans="1:4">
      <c r="A48" s="76" t="s">
        <v>121</v>
      </c>
      <c r="B48" s="110">
        <f>B47</f>
        <v>0</v>
      </c>
    </row>
    <row r="49" spans="1:5">
      <c r="A49" s="76" t="s">
        <v>122</v>
      </c>
      <c r="B49" s="109"/>
      <c r="D49" s="91">
        <f>(1+B49)^12-1</f>
        <v>0</v>
      </c>
    </row>
    <row r="50" spans="1:5">
      <c r="A50" s="76" t="s">
        <v>123</v>
      </c>
      <c r="B50" s="78">
        <f>+Resumo!E33</f>
        <v>0</v>
      </c>
    </row>
    <row r="51" spans="1:5">
      <c r="A51" s="76" t="s">
        <v>124</v>
      </c>
      <c r="B51" s="79">
        <f ca="1">+-'Fluxo detalhado'!AL3</f>
        <v>0</v>
      </c>
    </row>
    <row r="53" spans="1:5">
      <c r="A53" s="76" t="s">
        <v>126</v>
      </c>
      <c r="B53" s="90">
        <f ca="1">'Fluxo detalhado'!AX3</f>
        <v>2.5202067320272636E-2</v>
      </c>
    </row>
    <row r="55" spans="1:5">
      <c r="A55" s="76" t="s">
        <v>165</v>
      </c>
      <c r="B55" s="141">
        <f ca="1">+SUM(B24,B33,B42,B51)-K4</f>
        <v>22302.790523924603</v>
      </c>
      <c r="D55" s="76" t="s">
        <v>13</v>
      </c>
      <c r="E55" s="78">
        <f ca="1">+K14</f>
        <v>113079.34990945608</v>
      </c>
    </row>
    <row r="56" spans="1:5">
      <c r="A56" s="76" t="s">
        <v>166</v>
      </c>
      <c r="B56" s="142">
        <v>0.3</v>
      </c>
      <c r="D56" s="76" t="s">
        <v>18</v>
      </c>
      <c r="E56" s="9">
        <f ca="1">+K4</f>
        <v>776.54118553148055</v>
      </c>
    </row>
    <row r="57" spans="1:5">
      <c r="A57" s="76" t="s">
        <v>167</v>
      </c>
      <c r="B57" s="142">
        <f ca="1">IF(B68="VERDADEIRO",B60,IF(B77="VERDADEIRO",B72,IF(B86="VERDADEIRO",B81,3%)))</f>
        <v>0.06</v>
      </c>
      <c r="D57" s="76" t="s">
        <v>168</v>
      </c>
      <c r="E57" s="78">
        <f ca="1">((E55-E56)/(1+AVERAGE(B60,B72,B81)))*AVERAGE(B60,B72,B81)</f>
        <v>6356.7627579579967</v>
      </c>
    </row>
    <row r="58" spans="1:5">
      <c r="D58" s="76" t="s">
        <v>35</v>
      </c>
      <c r="E58" s="78">
        <f ca="1">+E55-K7-E56-E57</f>
        <v>15946.027765966599</v>
      </c>
    </row>
    <row r="59" spans="1:5" ht="15.75" thickBot="1">
      <c r="A59" s="125" t="s">
        <v>153</v>
      </c>
      <c r="B59" s="126"/>
    </row>
    <row r="60" spans="1:5">
      <c r="A60" s="127" t="s">
        <v>154</v>
      </c>
      <c r="B60" s="128">
        <v>0.09</v>
      </c>
    </row>
    <row r="61" spans="1:5">
      <c r="A61" s="129" t="s">
        <v>155</v>
      </c>
      <c r="B61" s="140">
        <f ca="1">(K14-K4)/(1+B60)</f>
        <v>103030.09974671982</v>
      </c>
    </row>
    <row r="62" spans="1:5">
      <c r="A62" s="129" t="s">
        <v>23</v>
      </c>
      <c r="B62" s="130">
        <f ca="1">B61*B60</f>
        <v>9272.7089772047839</v>
      </c>
    </row>
    <row r="63" spans="1:5" ht="15.75" thickBot="1">
      <c r="A63" s="131" t="s">
        <v>156</v>
      </c>
      <c r="B63" s="132">
        <v>36</v>
      </c>
    </row>
    <row r="64" spans="1:5">
      <c r="A64" s="133"/>
      <c r="B64" s="126"/>
    </row>
    <row r="65" spans="1:2" ht="15.75" thickBot="1">
      <c r="A65" s="125" t="s">
        <v>157</v>
      </c>
      <c r="B65" s="126"/>
    </row>
    <row r="66" spans="1:2">
      <c r="A66" s="127" t="s">
        <v>158</v>
      </c>
      <c r="B66" s="134">
        <f ca="1">+B55-B62</f>
        <v>13030.081546719819</v>
      </c>
    </row>
    <row r="67" spans="1:2">
      <c r="A67" s="129" t="s">
        <v>159</v>
      </c>
      <c r="B67" s="130">
        <f ca="1">+(B62+B66)*B56</f>
        <v>6690.8371571773805</v>
      </c>
    </row>
    <row r="68" spans="1:2" ht="15.75" thickBot="1">
      <c r="A68" s="131" t="s">
        <v>160</v>
      </c>
      <c r="B68" s="135" t="str">
        <f ca="1">IF(B62&lt;B67,"VERDADEIRO","FALSO")</f>
        <v>FALSO</v>
      </c>
    </row>
    <row r="69" spans="1:2">
      <c r="A69" s="136"/>
      <c r="B69" s="126"/>
    </row>
    <row r="70" spans="1:2" ht="15.75" thickBot="1">
      <c r="A70" s="125" t="s">
        <v>161</v>
      </c>
      <c r="B70" s="126"/>
    </row>
    <row r="71" spans="1:2">
      <c r="A71" s="127" t="s">
        <v>23</v>
      </c>
      <c r="B71" s="137">
        <f ca="1">B74*B72</f>
        <v>6356.7627579579967</v>
      </c>
    </row>
    <row r="72" spans="1:2">
      <c r="A72" s="129" t="s">
        <v>154</v>
      </c>
      <c r="B72" s="138">
        <v>0.06</v>
      </c>
    </row>
    <row r="73" spans="1:2">
      <c r="A73" s="129" t="s">
        <v>162</v>
      </c>
      <c r="B73" s="139">
        <v>24</v>
      </c>
    </row>
    <row r="74" spans="1:2">
      <c r="A74" s="129" t="s">
        <v>155</v>
      </c>
      <c r="B74" s="140">
        <f ca="1">(K14-K4)/(1+B72)</f>
        <v>105946.04596596661</v>
      </c>
    </row>
    <row r="75" spans="1:2">
      <c r="A75" s="129" t="s">
        <v>163</v>
      </c>
      <c r="B75" s="130">
        <f ca="1">+B55-B71</f>
        <v>15946.027765966606</v>
      </c>
    </row>
    <row r="76" spans="1:2">
      <c r="A76" s="129" t="s">
        <v>159</v>
      </c>
      <c r="B76" s="130">
        <f ca="1">(E58+B71)*$B$56</f>
        <v>6690.8371571773787</v>
      </c>
    </row>
    <row r="77" spans="1:2" ht="15.75" thickBot="1">
      <c r="A77" s="131" t="s">
        <v>160</v>
      </c>
      <c r="B77" s="135" t="str">
        <f ca="1">IF(B71&lt;B76,"VERDADEIRO","FALSO")</f>
        <v>VERDADEIRO</v>
      </c>
    </row>
    <row r="78" spans="1:2">
      <c r="A78" s="133"/>
      <c r="B78" s="133"/>
    </row>
    <row r="79" spans="1:2" ht="15.75" thickBot="1">
      <c r="A79" s="125" t="s">
        <v>164</v>
      </c>
      <c r="B79" s="126"/>
    </row>
    <row r="80" spans="1:2">
      <c r="A80" s="127" t="s">
        <v>23</v>
      </c>
      <c r="B80" s="137">
        <f ca="1">B83*B81</f>
        <v>3270.9555939007164</v>
      </c>
    </row>
    <row r="81" spans="1:2">
      <c r="A81" s="129" t="s">
        <v>154</v>
      </c>
      <c r="B81" s="138">
        <v>0.03</v>
      </c>
    </row>
    <row r="82" spans="1:2">
      <c r="A82" s="129" t="s">
        <v>162</v>
      </c>
      <c r="B82" s="139">
        <v>12</v>
      </c>
    </row>
    <row r="83" spans="1:2">
      <c r="A83" s="129" t="s">
        <v>155</v>
      </c>
      <c r="B83" s="140">
        <f ca="1">(E55-E56)/(1+B81)</f>
        <v>109031.85313002388</v>
      </c>
    </row>
    <row r="84" spans="1:2">
      <c r="A84" s="129" t="s">
        <v>163</v>
      </c>
      <c r="B84" s="130">
        <f ca="1">+B55-B80</f>
        <v>19031.834930023888</v>
      </c>
    </row>
    <row r="85" spans="1:2">
      <c r="A85" s="129" t="s">
        <v>159</v>
      </c>
      <c r="B85" s="130">
        <f ca="1">(E58+B80)*$B$56</f>
        <v>5765.0950079601944</v>
      </c>
    </row>
    <row r="86" spans="1:2" ht="15.75" thickBot="1">
      <c r="A86" s="131" t="s">
        <v>160</v>
      </c>
      <c r="B86" s="135" t="str">
        <f ca="1">IF(B80&lt;B85,"VERDADEIRO","FALSO")</f>
        <v>VERDADEIRO</v>
      </c>
    </row>
  </sheetData>
  <mergeCells count="6">
    <mergeCell ref="M1:N1"/>
    <mergeCell ref="H20:I20"/>
    <mergeCell ref="A1:B1"/>
    <mergeCell ref="D1:E1"/>
    <mergeCell ref="G1:H1"/>
    <mergeCell ref="J1:K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AX147"/>
  <sheetViews>
    <sheetView showGridLines="0" topLeftCell="M1" zoomScale="150" zoomScaleNormal="150" workbookViewId="0">
      <pane ySplit="2" topLeftCell="A3" activePane="bottomLeft" state="frozen"/>
      <selection activeCell="A6" sqref="A6"/>
      <selection pane="bottomLeft" activeCell="A6" sqref="A6"/>
    </sheetView>
  </sheetViews>
  <sheetFormatPr defaultColWidth="8.7109375" defaultRowHeight="15"/>
  <cols>
    <col min="1" max="1" width="4" customWidth="1"/>
    <col min="2" max="2" width="10.7109375" customWidth="1"/>
    <col min="3" max="3" width="12.7109375" customWidth="1"/>
    <col min="4" max="4" width="11.42578125" customWidth="1"/>
    <col min="5" max="5" width="15.85546875" customWidth="1"/>
    <col min="6" max="6" width="10.28515625" customWidth="1"/>
    <col min="7" max="7" width="14.140625" customWidth="1"/>
    <col min="8" max="8" width="12.28515625" customWidth="1"/>
    <col min="9" max="9" width="6.140625" bestFit="1" customWidth="1"/>
    <col min="10" max="10" width="11" customWidth="1"/>
    <col min="11" max="11" width="10.42578125" customWidth="1"/>
    <col min="12" max="12" width="10" customWidth="1"/>
    <col min="13" max="13" width="11.140625" customWidth="1"/>
    <col min="14" max="14" width="14.42578125" customWidth="1"/>
    <col min="15" max="15" width="18.42578125" customWidth="1"/>
    <col min="16" max="16" width="10.140625" customWidth="1"/>
    <col min="17" max="17" width="13.7109375" customWidth="1"/>
    <col min="18" max="18" width="13.42578125" customWidth="1"/>
    <col min="19" max="19" width="16.140625" customWidth="1"/>
    <col min="20" max="20" width="9.42578125" customWidth="1"/>
    <col min="21" max="21" width="11.42578125" customWidth="1"/>
    <col min="22" max="22" width="10.28515625" customWidth="1"/>
    <col min="25" max="25" width="10.42578125" bestFit="1" customWidth="1"/>
    <col min="26" max="26" width="8.7109375" style="81"/>
    <col min="27" max="27" width="14.140625" style="81" bestFit="1" customWidth="1"/>
    <col min="28" max="28" width="9" bestFit="1" customWidth="1"/>
    <col min="29" max="29" width="10.140625" style="93" bestFit="1" customWidth="1"/>
    <col min="30" max="30" width="12.140625" bestFit="1" customWidth="1"/>
    <col min="31" max="31" width="10.140625" bestFit="1" customWidth="1"/>
    <col min="32" max="32" width="9.7109375" bestFit="1" customWidth="1"/>
    <col min="33" max="33" width="12.140625" bestFit="1" customWidth="1"/>
    <col min="34" max="39" width="12.140625" customWidth="1"/>
    <col min="40" max="40" width="15.140625" bestFit="1" customWidth="1"/>
    <col min="41" max="48" width="1.7109375" customWidth="1"/>
  </cols>
  <sheetData>
    <row r="1" spans="1:50" ht="15.75" thickBot="1">
      <c r="A1" s="65" t="s">
        <v>95</v>
      </c>
      <c r="B1" s="65"/>
      <c r="C1" s="65"/>
      <c r="D1" s="65"/>
      <c r="E1" s="65"/>
      <c r="F1" s="65"/>
      <c r="G1" s="65"/>
      <c r="H1" s="65"/>
      <c r="I1" s="65"/>
      <c r="J1" s="66"/>
      <c r="K1" s="66"/>
      <c r="L1" s="66"/>
      <c r="M1" s="66"/>
      <c r="N1" s="66"/>
      <c r="O1" s="66"/>
      <c r="P1" s="66"/>
      <c r="Q1" s="66"/>
      <c r="R1" s="66"/>
      <c r="T1" s="67">
        <f ca="1">SUM(T4:T116)</f>
        <v>22694.262615330579</v>
      </c>
      <c r="U1" s="67">
        <f ca="1">SUM(U4:U116)/T1</f>
        <v>1008.9935488261647</v>
      </c>
      <c r="V1" s="65"/>
      <c r="AB1" s="219" t="s">
        <v>117</v>
      </c>
      <c r="AC1" s="219"/>
      <c r="AD1" s="219"/>
      <c r="AE1" s="219" t="s">
        <v>125</v>
      </c>
      <c r="AF1" s="219"/>
      <c r="AG1" s="219"/>
      <c r="AH1" s="219" t="s">
        <v>171</v>
      </c>
      <c r="AI1" s="219"/>
      <c r="AJ1" s="219"/>
      <c r="AK1" s="219" t="s">
        <v>172</v>
      </c>
      <c r="AL1" s="219"/>
      <c r="AM1" s="219"/>
      <c r="AW1" s="220" t="s">
        <v>126</v>
      </c>
      <c r="AX1" s="220"/>
    </row>
    <row r="2" spans="1:50">
      <c r="A2" s="68" t="s">
        <v>96</v>
      </c>
      <c r="B2" s="68" t="s">
        <v>97</v>
      </c>
      <c r="C2" s="68" t="s">
        <v>98</v>
      </c>
      <c r="D2" s="68" t="s">
        <v>99</v>
      </c>
      <c r="E2" s="68" t="s">
        <v>100</v>
      </c>
      <c r="F2" s="68" t="s">
        <v>101</v>
      </c>
      <c r="G2" s="68" t="s">
        <v>102</v>
      </c>
      <c r="H2" s="68" t="s">
        <v>103</v>
      </c>
      <c r="I2" s="68" t="s">
        <v>104</v>
      </c>
      <c r="J2" s="68" t="s">
        <v>105</v>
      </c>
      <c r="K2" s="68" t="s">
        <v>106</v>
      </c>
      <c r="L2" s="68" t="s">
        <v>107</v>
      </c>
      <c r="M2" s="68" t="s">
        <v>108</v>
      </c>
      <c r="N2" s="68" t="s">
        <v>109</v>
      </c>
      <c r="O2" s="68" t="s">
        <v>110</v>
      </c>
      <c r="P2" s="68" t="s">
        <v>111</v>
      </c>
      <c r="Q2" s="68" t="s">
        <v>112</v>
      </c>
      <c r="R2" s="68" t="s">
        <v>113</v>
      </c>
      <c r="S2" s="68" t="s">
        <v>114</v>
      </c>
      <c r="T2" s="68" t="s">
        <v>115</v>
      </c>
      <c r="U2" s="68" t="s">
        <v>116</v>
      </c>
      <c r="V2" s="68" t="s">
        <v>54</v>
      </c>
      <c r="X2" s="68" t="s">
        <v>149</v>
      </c>
      <c r="AA2" s="82" t="s">
        <v>114</v>
      </c>
      <c r="AB2" s="82" t="s">
        <v>127</v>
      </c>
      <c r="AC2" s="82" t="s">
        <v>128</v>
      </c>
      <c r="AD2" s="82" t="s">
        <v>129</v>
      </c>
      <c r="AE2" s="82" t="s">
        <v>127</v>
      </c>
      <c r="AF2" s="82" t="s">
        <v>128</v>
      </c>
      <c r="AG2" s="82" t="s">
        <v>129</v>
      </c>
      <c r="AH2" s="82" t="s">
        <v>127</v>
      </c>
      <c r="AI2" s="82" t="s">
        <v>128</v>
      </c>
      <c r="AJ2" s="82" t="s">
        <v>129</v>
      </c>
      <c r="AK2" s="82" t="s">
        <v>127</v>
      </c>
      <c r="AL2" s="82" t="s">
        <v>128</v>
      </c>
      <c r="AM2" s="82" t="s">
        <v>129</v>
      </c>
      <c r="AN2" s="83" t="s">
        <v>130</v>
      </c>
      <c r="AW2" s="82" t="s">
        <v>131</v>
      </c>
      <c r="AX2" s="82" t="s">
        <v>132</v>
      </c>
    </row>
    <row r="3" spans="1:50">
      <c r="A3" s="69">
        <v>0</v>
      </c>
      <c r="B3" s="70">
        <f ca="1">'Dados de entrada'!B7</f>
        <v>46212</v>
      </c>
      <c r="C3" s="69"/>
      <c r="D3" s="71">
        <f ca="1">'Dados de entrada'!K3-'Dados de entrada'!B3</f>
        <v>23220.059557487679</v>
      </c>
      <c r="E3" s="69"/>
      <c r="F3" s="69"/>
      <c r="G3" s="69"/>
      <c r="H3" s="69"/>
      <c r="I3" s="69"/>
      <c r="J3" s="71">
        <f ca="1">'Dados de entrada'!K8+'Dados de entrada'!K7</f>
        <v>112443.53657195621</v>
      </c>
      <c r="K3" s="71">
        <f ca="1">'Dados de entrada'!K3</f>
        <v>113220.07775748768</v>
      </c>
      <c r="L3" s="69"/>
      <c r="M3" s="69"/>
      <c r="N3" s="72">
        <f ca="1">'Dados de entrada'!E13*'Dados de entrada'!E9</f>
        <v>0</v>
      </c>
      <c r="O3" s="71">
        <f ca="1">'Dados de entrada'!K3</f>
        <v>113220.07775748768</v>
      </c>
      <c r="P3" s="69"/>
      <c r="Q3" s="69"/>
      <c r="R3" s="73">
        <f ca="1">-'Dados de entrada'!B3-'Dados de entrada'!B4-'Dados de entrada'!K8-'Dados de entrada'!K4-'Dados de entrada'!H4-'Dados de entrada'!H7-'Dados de entrada'!E9*'Dados de entrada'!E13+'Dados de entrada'!B5-'Dados de entrada'!H11-'Dados de entrada'!K5</f>
        <v>-113751.09775748769</v>
      </c>
      <c r="S3" s="74"/>
      <c r="V3" s="69"/>
      <c r="Y3" s="116">
        <f ca="1">B3</f>
        <v>46212</v>
      </c>
      <c r="AB3" s="84">
        <f>-'Dados de entrada'!B23</f>
        <v>-90000</v>
      </c>
      <c r="AC3" s="93">
        <f ca="1">-SUM(AD4:AD147)</f>
        <v>-23079.331709456084</v>
      </c>
      <c r="AE3" s="93">
        <f>-'Dados de entrada'!B32</f>
        <v>-1.8200000000000001E-2</v>
      </c>
      <c r="AF3" s="93">
        <f ca="1">-SUM(AG4:AG99)</f>
        <v>0</v>
      </c>
      <c r="AG3" s="93"/>
      <c r="AH3" s="93">
        <f>+-'Dados de entrada'!B41</f>
        <v>0</v>
      </c>
      <c r="AI3" s="93">
        <f ca="1">-SUM(AJ4:AJ99)</f>
        <v>0</v>
      </c>
      <c r="AJ3" s="93"/>
      <c r="AK3" s="93">
        <f>+-'Dados de entrada'!B50</f>
        <v>0</v>
      </c>
      <c r="AL3" s="93">
        <f ca="1">-SUM(AM4:AM99)</f>
        <v>0</v>
      </c>
      <c r="AM3" s="93"/>
      <c r="AN3" s="85">
        <f ca="1">SUM(AB3:AC3,AE3:AF3,AH3:AI3,AK3:AL3)</f>
        <v>-113079.34990945608</v>
      </c>
      <c r="AS3" s="86"/>
      <c r="AW3" s="87">
        <f ca="1">XIRR(AN3:AN147,Y3:Y147)</f>
        <v>0.34807383418083204</v>
      </c>
      <c r="AX3" s="88">
        <f ca="1">(1+AW3)^(1/12)-1</f>
        <v>2.5202067320272636E-2</v>
      </c>
    </row>
    <row r="4" spans="1:50">
      <c r="A4" s="69">
        <v>1</v>
      </c>
      <c r="B4" s="70">
        <f>'Dados de entrada'!B8</f>
        <v>46241</v>
      </c>
      <c r="C4" s="69">
        <f ca="1">'Dados de entrada'!B9</f>
        <v>28</v>
      </c>
      <c r="D4" s="71">
        <f ca="1">D3*(1+'Dados de entrada'!$B$6)^((C4)/30)</f>
        <v>23765.785390741104</v>
      </c>
      <c r="E4" s="71">
        <f ca="1">-'Dados de entrada'!J20</f>
        <v>-615.26347669246445</v>
      </c>
      <c r="F4" s="71">
        <f ca="1">D4+E4</f>
        <v>23150.521914048641</v>
      </c>
      <c r="G4" s="71">
        <f ca="1">D3-F4</f>
        <v>69.53764343903822</v>
      </c>
      <c r="H4" s="69">
        <f ca="1">B4-$B$3</f>
        <v>29</v>
      </c>
      <c r="I4" s="71">
        <f ca="1">MIN(H4,365)*G4*'Dados de entrada'!$B$11+G4*'Dados de entrada'!$B$12</f>
        <v>0.4296035611663781</v>
      </c>
      <c r="J4" s="71">
        <f>V4</f>
        <v>-3000</v>
      </c>
      <c r="K4" s="71">
        <f>V4</f>
        <v>-3000</v>
      </c>
      <c r="L4" s="72">
        <f>IF(A4&lt;='Dados de entrada'!$J$2,-V4,-V4*(1-'Dados de entrada'!$J$3))</f>
        <v>3000</v>
      </c>
      <c r="M4" s="72">
        <f>L4*'Dados de entrada'!$E$4</f>
        <v>60.599999999999994</v>
      </c>
      <c r="N4" s="72">
        <f ca="1">IF(A4&lt;='Dados de entrada'!$E$2,'Dados de entrada'!$E$13*'Dados de entrada'!$E$10/'Dados de entrada'!$B$10,'Dados de entrada'!$E$13*'Dados de entrada'!$E$10/'Dados de entrada'!$B$10*(1-'Dados de entrada'!$E$3))</f>
        <v>0</v>
      </c>
      <c r="O4" s="71">
        <f ca="1">IF(AND(A4='Dados de entrada'!$E$2),(O3*(1+'Dados de entrada'!$B$6)-L4)*(1-'Dados de entrada'!$E$3),IF(AND(A4&lt;&gt;'Dados de entrada'!$A$2),O3*(1+'Dados de entrada'!$B$6)^(C4/30)-L4,""))</f>
        <v>112881.01500109171</v>
      </c>
      <c r="P4" s="71">
        <f ca="1">(O3*((1+'Dados de entrada'!$B$6)^(-DAYS360(B4,B3)/30)-1)-O3*((1+'Dados de entrada'!$H$10)^(-DAYS360(B4,B3)/360)-1))*4.65%</f>
        <v>96.071170923647315</v>
      </c>
      <c r="Q4" s="75">
        <f ca="1">IF(E4&lt;&gt;"",'Dados de entrada'!$H$5-E4*'Dados de entrada'!$H$6,"")</f>
        <v>0</v>
      </c>
      <c r="R4" s="71">
        <f ca="1">IF(A4='Dados de entrada'!$E$2,PV('Dados de entrada'!$B$6,'Dados de entrada'!$B$10-'Dados de entrada'!$E$2+1,+L4*(-'Dados de entrada'!$E$3),,1)+L4*(1-'Dados de entrada'!$E$3)-M4-N4-P4-Q4,L4-M4-N4-P4-Q4)</f>
        <v>2843.3288290763526</v>
      </c>
      <c r="S4" s="74">
        <f t="shared" ref="S4:S35" ca="1" si="0">IF(H4&lt;&gt;"",H4,"")</f>
        <v>29</v>
      </c>
      <c r="T4" s="67">
        <f ca="1">IF(E4&lt;&gt;"",(-E4)/((1+'Dados de entrada'!$B$6)^(S4/30)),"")</f>
        <v>600.63685612244126</v>
      </c>
      <c r="U4" s="67">
        <f t="shared" ref="U4:U35" ca="1" si="1">IF(T4&lt;&gt;"",T4*S4,"")</f>
        <v>17418.468827550798</v>
      </c>
      <c r="V4" s="71">
        <f>-'Dados de entrada'!B2</f>
        <v>-3000</v>
      </c>
      <c r="X4" s="93">
        <f>+Resumo!$E$12-Resumo!$E$20</f>
        <v>0</v>
      </c>
      <c r="Y4" s="116">
        <f>B4</f>
        <v>46241</v>
      </c>
      <c r="AA4" s="81">
        <f ca="1">C4</f>
        <v>28</v>
      </c>
      <c r="AB4" s="93">
        <f>IF(A4&lt;='Dados de entrada'!$B$18,'Dados de entrada'!$B$20,0)</f>
        <v>3000</v>
      </c>
      <c r="AC4" s="93">
        <f>IF(OR(Resumo!$E$23&gt;0,Resumo!$E$28&gt;0,Resumo!$E$33&gt;0),IF(AND(A4&gt;'Dados de entrada'!$B$18,A4&lt;='Dados de entrada'!$B$10),'Dados de entrada'!$B$21,0),IF(AND(A4&gt;'Dados de entrada'!$B$18,A4&lt;='Dados de entrada'!$B$10),'Dados de entrada'!$B$21,IF(A4&lt;='Dados de entrada'!$B$18,X4,0)))</f>
        <v>0</v>
      </c>
      <c r="AD4" s="93">
        <f ca="1">AC4/((1+'Dados de entrada'!$D$22)^($AA4/360))</f>
        <v>0</v>
      </c>
      <c r="AE4" s="93">
        <f>IF(A4&lt;='Dados de entrada'!$B$27,'Dados de entrada'!$B$29,0)</f>
        <v>0</v>
      </c>
      <c r="AF4" s="93">
        <f>IF(AND(A4&gt;'Dados de entrada'!$B$27,A4&lt;='Dados de entrada'!$B$10),'Dados de entrada'!$B$30,0)</f>
        <v>0</v>
      </c>
      <c r="AG4" s="93">
        <f ca="1">AF4/((1+'Dados de entrada'!$D$31)^($AA4/360))</f>
        <v>0</v>
      </c>
      <c r="AH4" s="93">
        <f>IF(A4&lt;='Dados de entrada'!$B$36,'Dados de entrada'!$B$38,0)</f>
        <v>0</v>
      </c>
      <c r="AI4" s="93">
        <f>IF(AND(A4&gt;'Dados de entrada'!$B$36,A4&lt;='Dados de entrada'!$B$10),'Dados de entrada'!$B$39,0)</f>
        <v>0</v>
      </c>
      <c r="AJ4" s="93">
        <f ca="1">AI4/((1+'Dados de entrada'!$D$40)^($AA4/360))</f>
        <v>0</v>
      </c>
      <c r="AK4" s="93">
        <f>IF(A4&lt;='Dados de entrada'!$B$45,'Dados de entrada'!$B$47,0)</f>
        <v>0</v>
      </c>
      <c r="AL4" s="93">
        <f>IF(AND(A4&gt;'Dados de entrada'!$B$45,A4&lt;='Dados de entrada'!$B$10),'Dados de entrada'!$B$48,0)</f>
        <v>0</v>
      </c>
      <c r="AM4" s="93">
        <f ca="1">AL4/((1+'Dados de entrada'!$D$49)^($AA4/360))</f>
        <v>0</v>
      </c>
      <c r="AN4" s="85">
        <f>SUM(AB4:AC4,AE4:AF4,AH4:AI4,AK4:AL4)</f>
        <v>3000</v>
      </c>
      <c r="AP4" s="87"/>
    </row>
    <row r="5" spans="1:50">
      <c r="A5" s="69">
        <f>IF(A4="","",IF(A4+1&lt;='Dados de entrada'!$B$10,A4+1,""))</f>
        <v>2</v>
      </c>
      <c r="B5" s="70">
        <f t="shared" ref="B5:B36" si="2">IF(A5="","",DATE(YEAR(B4),MONTH(B4)+1,DAY(B4)))</f>
        <v>46272</v>
      </c>
      <c r="C5" s="69">
        <f t="shared" ref="C5:C36" si="3">IF(A5="","",30)</f>
        <v>30</v>
      </c>
      <c r="D5" s="71">
        <f ca="1">IF(A5="","",F4*(1+'Dados de entrada'!$B$6)^(C5/30))</f>
        <v>23733.962925825941</v>
      </c>
      <c r="E5" s="71">
        <f ca="1">IF(A5="","",-'Dados de entrada'!$J$20)</f>
        <v>-615.26347669246445</v>
      </c>
      <c r="F5" s="71">
        <f t="shared" ref="F5:F36" ca="1" si="4">IF(A5="","",D5+E5)</f>
        <v>23118.699449133477</v>
      </c>
      <c r="G5" s="71">
        <f t="shared" ref="G5:G36" ca="1" si="5">IF(A5="","",F4-F5)</f>
        <v>31.822464915163437</v>
      </c>
      <c r="H5" s="69">
        <f t="shared" ref="H5:H36" ca="1" si="6">IF(A5="","",B5-$B$3)</f>
        <v>60</v>
      </c>
      <c r="I5" s="71">
        <f ca="1">IF(A5="","",MIN(H5,365)*G5*'Dados de entrada'!$B$11+G5*'Dados de entrada'!$B$12)</f>
        <v>0.27749189406022517</v>
      </c>
      <c r="J5" s="71">
        <f t="shared" ref="J5:J36" ca="1" si="7">IF(A5="","",V5)</f>
        <v>-3000</v>
      </c>
      <c r="K5" s="71">
        <f t="shared" ref="K5:K36" ca="1" si="8">IF(A5="","",V5)</f>
        <v>-3000</v>
      </c>
      <c r="L5" s="72">
        <f>IF(A5="","",IF(A5&lt;='Dados de entrada'!$J$2,-V4,-V4*(1-'Dados de entrada'!$J$3)))</f>
        <v>3000</v>
      </c>
      <c r="M5" s="72">
        <f>IF(A5="","",L5*'Dados de entrada'!$E$4)</f>
        <v>60.599999999999994</v>
      </c>
      <c r="N5" s="72">
        <f ca="1">IF(A5="","",IF(A5&lt;='Dados de entrada'!$E$2,'Dados de entrada'!$E$13*'Dados de entrada'!$E$10/'Dados de entrada'!$B$10,'Dados de entrada'!$E$13*'Dados de entrada'!$E$10/'Dados de entrada'!$B$10*(1-'Dados de entrada'!$E$3)))</f>
        <v>0</v>
      </c>
      <c r="O5" s="71">
        <f ca="1">IF(A5="","",IF(AND(A5='Dados de entrada'!$E$2),(O4*(1+'Dados de entrada'!$B$6)-L5)*(1-'Dados de entrada'!$E$3),IF(AND(A5&lt;&gt;'Dados de entrada'!$A$2),O4*(1+'Dados de entrada'!$B$6)^(C5/30)-L5,"")))</f>
        <v>112725.84994032994</v>
      </c>
      <c r="P5" s="71">
        <f ca="1">IF(A5="","",(O4*((1+'Dados de entrada'!$B$6)^(-DAYS360(B5,B4)/30)-1)-O4*((1+'Dados de entrada'!$H$10)^(-DAYS360(B5,B4)/360)-1))*4.65%)</f>
        <v>102.72974969920755</v>
      </c>
      <c r="Q5" s="75">
        <f ca="1">IF(E5&lt;&gt;"",'Dados de entrada'!$H$5-E5*'Dados de entrada'!$H$6,"")</f>
        <v>0</v>
      </c>
      <c r="R5" s="71">
        <f ca="1">IF(A5="","",IF(A5='Dados de entrada'!$E$2,PV('Dados de entrada'!$B$6,'Dados de entrada'!$B$10-'Dados de entrada'!$E$2+1,+L5*(-'Dados de entrada'!$E$3),,1)+L5*(1-'Dados de entrada'!$E$3)-M5-N5-P5-Q5,L5-M5-N5-P5-Q5))</f>
        <v>2836.6702503007928</v>
      </c>
      <c r="S5" s="74">
        <f t="shared" ca="1" si="0"/>
        <v>60</v>
      </c>
      <c r="T5" s="67">
        <f ca="1">IF(E5&lt;&gt;"",(-E5)/((1+'Dados de entrada'!$B$6)^(S5/30)),"")</f>
        <v>585.38580724863368</v>
      </c>
      <c r="U5" s="67">
        <f t="shared" ca="1" si="1"/>
        <v>35123.148434918025</v>
      </c>
      <c r="V5" s="71">
        <f ca="1">IF(F5="","",-'Dados de entrada'!$B$2)</f>
        <v>-3000</v>
      </c>
      <c r="X5" s="93">
        <f>+Resumo!$E$12-Resumo!$E$20</f>
        <v>0</v>
      </c>
      <c r="Y5" s="116">
        <f>EDATE(Y4,1)</f>
        <v>46272</v>
      </c>
      <c r="Z5" s="81">
        <v>30</v>
      </c>
      <c r="AA5" s="81">
        <f ca="1">AA4+Z5</f>
        <v>58</v>
      </c>
      <c r="AB5" s="93">
        <f>IF(A5&lt;='Dados de entrada'!$B$18,'Dados de entrada'!$B$20,0)</f>
        <v>3000</v>
      </c>
      <c r="AC5" s="93">
        <f>IF(OR(Resumo!$E$23&gt;0,Resumo!$E$28&gt;0,Resumo!$E$33&gt;0),IF(AND(A5&gt;'Dados de entrada'!$B$18,A5&lt;='Dados de entrada'!$B$10),'Dados de entrada'!$B$21,0),IF(AND(A5&gt;'Dados de entrada'!$B$18,A5&lt;='Dados de entrada'!$B$10),'Dados de entrada'!$B$21,IF(A5&lt;='Dados de entrada'!$B$18,X5,0)))</f>
        <v>0</v>
      </c>
      <c r="AD5" s="93">
        <f ca="1">AC5/((1+'Dados de entrada'!$D$22)^($AA5/360))</f>
        <v>0</v>
      </c>
      <c r="AE5" s="93">
        <f>IF(A5&lt;='Dados de entrada'!$B$27,'Dados de entrada'!$B$29,0)</f>
        <v>0</v>
      </c>
      <c r="AF5" s="93">
        <f>IF(AND(A5&gt;'Dados de entrada'!$B$27,A5&lt;='Dados de entrada'!$B$10),'Dados de entrada'!$B$30,0)</f>
        <v>0</v>
      </c>
      <c r="AG5" s="93">
        <f ca="1">AF5/((1+'Dados de entrada'!$D$31)^($AA5/360))</f>
        <v>0</v>
      </c>
      <c r="AH5" s="93">
        <f>IF(A5&lt;='Dados de entrada'!$B$36,'Dados de entrada'!$B$38,0)</f>
        <v>0</v>
      </c>
      <c r="AI5" s="93">
        <f>IF(AND(A5&gt;'Dados de entrada'!$B$36,A5&lt;='Dados de entrada'!$B$10),'Dados de entrada'!$B$39,0)</f>
        <v>0</v>
      </c>
      <c r="AJ5" s="93">
        <f ca="1">AI5/((1+'Dados de entrada'!$D$40)^($AA5/360))</f>
        <v>0</v>
      </c>
      <c r="AK5" s="93">
        <f>IF(A5&lt;='Dados de entrada'!$B$45,'Dados de entrada'!$B$47,0)</f>
        <v>0</v>
      </c>
      <c r="AL5" s="93">
        <f>IF(AND(A5&gt;'Dados de entrada'!$B$45,A5&lt;='Dados de entrada'!$B$10),'Dados de entrada'!$B$48,0)</f>
        <v>0</v>
      </c>
      <c r="AM5" s="93">
        <f ca="1">AL5/((1+'Dados de entrada'!$D$49)^($AA5/360))</f>
        <v>0</v>
      </c>
      <c r="AN5" s="85">
        <f t="shared" ref="AN5:AN68" si="9">SUM(AB5:AC5,AE5:AF5,AH5:AI5,AK5:AL5)</f>
        <v>3000</v>
      </c>
    </row>
    <row r="6" spans="1:50">
      <c r="A6" s="69">
        <f>IF(A5="","",IF(A5+1&lt;='Dados de entrada'!$B$10,A5+1,""))</f>
        <v>3</v>
      </c>
      <c r="B6" s="70">
        <f t="shared" si="2"/>
        <v>46302</v>
      </c>
      <c r="C6" s="69">
        <f t="shared" si="3"/>
        <v>30</v>
      </c>
      <c r="D6" s="71">
        <f ca="1">IF(A6="","",F5*(1+'Dados de entrada'!$B$6)^(C6/30))</f>
        <v>23701.338469007689</v>
      </c>
      <c r="E6" s="71">
        <f ca="1">IF(A6="","",-'Dados de entrada'!$J$20)</f>
        <v>-615.26347669246445</v>
      </c>
      <c r="F6" s="71">
        <f t="shared" ca="1" si="4"/>
        <v>23086.074992315225</v>
      </c>
      <c r="G6" s="71">
        <f t="shared" ca="1" si="5"/>
        <v>32.624456818251929</v>
      </c>
      <c r="H6" s="69">
        <f t="shared" ca="1" si="6"/>
        <v>90</v>
      </c>
      <c r="I6" s="71">
        <f ca="1">IF(A6="","",MIN(H6,365)*G6*'Dados de entrada'!$B$11+G6*'Dados de entrada'!$B$12)</f>
        <v>0.36474142722805658</v>
      </c>
      <c r="J6" s="71">
        <f t="shared" ca="1" si="7"/>
        <v>-3000</v>
      </c>
      <c r="K6" s="71">
        <f t="shared" ca="1" si="8"/>
        <v>-3000</v>
      </c>
      <c r="L6" s="72">
        <f ca="1">IF(A6="","",IF(A6&lt;='Dados de entrada'!$J$2,-V5,-V5*(1-'Dados de entrada'!$J$3)))</f>
        <v>3000</v>
      </c>
      <c r="M6" s="72">
        <f ca="1">IF(A6="","",L6*'Dados de entrada'!$E$4)</f>
        <v>60.599999999999994</v>
      </c>
      <c r="N6" s="72">
        <f ca="1">IF(A6="","",IF(A6&lt;='Dados de entrada'!$E$2,'Dados de entrada'!$E$13*'Dados de entrada'!$E$10/'Dados de entrada'!$B$10,'Dados de entrada'!$E$13*'Dados de entrada'!$E$10/'Dados de entrada'!$B$10*(1-'Dados de entrada'!$E$3)))</f>
        <v>0</v>
      </c>
      <c r="O6" s="71">
        <f ca="1">IF(A6="","",IF(AND(A6='Dados de entrada'!$E$2),(O5*(1+'Dados de entrada'!$B$6)-L6)*(1-'Dados de entrada'!$E$3),IF(AND(A6&lt;&gt;'Dados de entrada'!$A$2),O5*(1+'Dados de entrada'!$B$6)^(C6/30)-L6,"")))</f>
        <v>112566.77439926108</v>
      </c>
      <c r="P6" s="71">
        <f ca="1">IF(A6="","",(O5*((1+'Dados de entrada'!$B$6)^(-DAYS360(B6,B5)/30)-1)-O5*((1+'Dados de entrada'!$H$10)^(-DAYS360(B6,B5)/360)-1))*4.65%)</f>
        <v>102.58853846139252</v>
      </c>
      <c r="Q6" s="75">
        <f ca="1">IF(E6&lt;&gt;"",'Dados de entrada'!$H$5-E6*'Dados de entrada'!$H$6,"")</f>
        <v>0</v>
      </c>
      <c r="R6" s="71">
        <f ca="1">IF(A6="","",IF(A6='Dados de entrada'!$E$2,PV('Dados de entrada'!$B$6,'Dados de entrada'!$B$10-'Dados de entrada'!$E$2+1,+L6*(-'Dados de entrada'!$E$3),,1)+L6*(1-'Dados de entrada'!$E$3)-M6-N6-P6-Q6,L6-M6-N6-P6-Q6))</f>
        <v>2836.8114615386075</v>
      </c>
      <c r="S6" s="74">
        <f t="shared" ca="1" si="0"/>
        <v>90</v>
      </c>
      <c r="T6" s="67">
        <f ca="1">IF(E6&lt;&gt;"",(-E6)/((1+'Dados de entrada'!$B$6)^(S6/30)),"")</f>
        <v>570.99553922939901</v>
      </c>
      <c r="U6" s="67">
        <f t="shared" ca="1" si="1"/>
        <v>51389.598530645912</v>
      </c>
      <c r="V6" s="71">
        <f ca="1">IF(F6="","",-'Dados de entrada'!$B$2)</f>
        <v>-3000</v>
      </c>
      <c r="X6" s="93">
        <f>+Resumo!$E$12-Resumo!$E$20</f>
        <v>0</v>
      </c>
      <c r="Y6" s="116">
        <f t="shared" ref="Y6:Y69" si="10">EDATE(Y5,1)</f>
        <v>46302</v>
      </c>
      <c r="Z6" s="81">
        <v>30</v>
      </c>
      <c r="AA6" s="81">
        <f t="shared" ref="AA6:AA69" ca="1" si="11">AA5+Z6</f>
        <v>88</v>
      </c>
      <c r="AB6" s="93">
        <f>IF(A6&lt;='Dados de entrada'!$B$18,'Dados de entrada'!$B$20,0)</f>
        <v>3000</v>
      </c>
      <c r="AC6" s="93">
        <f>IF(OR(Resumo!$E$23&gt;0,Resumo!$E$28&gt;0,Resumo!$E$33&gt;0),IF(AND(A6&gt;'Dados de entrada'!$B$18,A6&lt;='Dados de entrada'!$B$10),'Dados de entrada'!$B$21,0),IF(AND(A6&gt;'Dados de entrada'!$B$18,A6&lt;='Dados de entrada'!$B$10),'Dados de entrada'!$B$21,IF(A6&lt;='Dados de entrada'!$B$18,X6,0)))</f>
        <v>0</v>
      </c>
      <c r="AD6" s="93">
        <f ca="1">AC6/((1+'Dados de entrada'!$D$22)^($AA6/360))</f>
        <v>0</v>
      </c>
      <c r="AE6" s="93">
        <f>IF(A6&lt;='Dados de entrada'!$B$27,'Dados de entrada'!$B$29,0)</f>
        <v>0</v>
      </c>
      <c r="AF6" s="93">
        <f>IF(AND(A6&gt;'Dados de entrada'!$B$27,A6&lt;='Dados de entrada'!$B$10),'Dados de entrada'!$B$30,0)</f>
        <v>0</v>
      </c>
      <c r="AG6" s="93">
        <f ca="1">AF6/((1+'Dados de entrada'!$D$31)^($AA6/360))</f>
        <v>0</v>
      </c>
      <c r="AH6" s="93">
        <f>IF(A6&lt;='Dados de entrada'!$B$36,'Dados de entrada'!$B$38,0)</f>
        <v>0</v>
      </c>
      <c r="AI6" s="93">
        <f>IF(AND(A6&gt;'Dados de entrada'!$B$36,A6&lt;='Dados de entrada'!$B$10),'Dados de entrada'!$B$39,0)</f>
        <v>0</v>
      </c>
      <c r="AJ6" s="93">
        <f ca="1">AI6/((1+'Dados de entrada'!$D$40)^($AA6/360))</f>
        <v>0</v>
      </c>
      <c r="AK6" s="93">
        <f>IF(A6&lt;='Dados de entrada'!$B$45,'Dados de entrada'!$B$47,0)</f>
        <v>0</v>
      </c>
      <c r="AL6" s="93">
        <f>IF(AND(A6&gt;'Dados de entrada'!$B$45,A6&lt;='Dados de entrada'!$B$10),'Dados de entrada'!$B$48,0)</f>
        <v>0</v>
      </c>
      <c r="AM6" s="93">
        <f ca="1">AL6/((1+'Dados de entrada'!$D$49)^($AA6/360))</f>
        <v>0</v>
      </c>
      <c r="AN6" s="85">
        <f t="shared" si="9"/>
        <v>3000</v>
      </c>
    </row>
    <row r="7" spans="1:50">
      <c r="A7" s="69">
        <f>IF(A6="","",IF(A6+1&lt;='Dados de entrada'!$B$10,A6+1,""))</f>
        <v>4</v>
      </c>
      <c r="B7" s="70">
        <f t="shared" si="2"/>
        <v>46333</v>
      </c>
      <c r="C7" s="69">
        <f t="shared" si="3"/>
        <v>30</v>
      </c>
      <c r="D7" s="71">
        <f ca="1">IF(A7="","",F6*(1+'Dados de entrada'!$B$6)^(C7/30))</f>
        <v>23667.891808432418</v>
      </c>
      <c r="E7" s="71">
        <f ca="1">IF(A7="","",-'Dados de entrada'!$J$20)</f>
        <v>-615.26347669246445</v>
      </c>
      <c r="F7" s="71">
        <f t="shared" ca="1" si="4"/>
        <v>23052.628331739954</v>
      </c>
      <c r="G7" s="71">
        <f t="shared" ca="1" si="5"/>
        <v>33.44666057527138</v>
      </c>
      <c r="H7" s="69">
        <f t="shared" ca="1" si="6"/>
        <v>121</v>
      </c>
      <c r="I7" s="71">
        <f ca="1">IF(A7="","",MIN(H7,365)*G7*'Dados de entrada'!$B$11+G7*'Dados de entrada'!$B$12)</f>
        <v>0.4589550764138739</v>
      </c>
      <c r="J7" s="71">
        <f t="shared" ca="1" si="7"/>
        <v>-3000</v>
      </c>
      <c r="K7" s="71">
        <f t="shared" ca="1" si="8"/>
        <v>-3000</v>
      </c>
      <c r="L7" s="72">
        <f ca="1">IF(A7="","",IF(A7&lt;='Dados de entrada'!$J$2,-V6,-V6*(1-'Dados de entrada'!$J$3)))</f>
        <v>3000</v>
      </c>
      <c r="M7" s="72">
        <f ca="1">IF(A7="","",L7*'Dados de entrada'!$E$4)</f>
        <v>60.599999999999994</v>
      </c>
      <c r="N7" s="72">
        <f ca="1">IF(A7="","",IF(A7&lt;='Dados de entrada'!$E$2,'Dados de entrada'!$E$13*'Dados de entrada'!$E$10/'Dados de entrada'!$B$10,'Dados de entrada'!$E$13*'Dados de entrada'!$E$10/'Dados de entrada'!$B$10*(1-'Dados de entrada'!$E$3)))</f>
        <v>0</v>
      </c>
      <c r="O7" s="71">
        <f ca="1">IF(A7="","",IF(AND(A7='Dados de entrada'!$E$2),(O6*(1+'Dados de entrada'!$B$6)-L7)*(1-'Dados de entrada'!$E$3),IF(AND(A7&lt;&gt;'Dados de entrada'!$A$2),O6*(1+'Dados de entrada'!$B$6)^(C7/30)-L7,"")))</f>
        <v>112403.68982569719</v>
      </c>
      <c r="P7" s="71">
        <f ca="1">IF(A7="","",(O6*((1+'Dados de entrada'!$B$6)^(-DAYS360(B7,B6)/30)-1)-O6*((1+'Dados de entrada'!$H$10)^(-DAYS360(B7,B6)/360)-1))*4.65%)</f>
        <v>102.44376840845571</v>
      </c>
      <c r="Q7" s="75">
        <f ca="1">IF(E7&lt;&gt;"",'Dados de entrada'!$H$5-E7*'Dados de entrada'!$H$6,"")</f>
        <v>0</v>
      </c>
      <c r="R7" s="71">
        <f ca="1">IF(A7="","",IF(A7='Dados de entrada'!$E$2,PV('Dados de entrada'!$B$6,'Dados de entrada'!$B$10-'Dados de entrada'!$E$2+1,+L7*(-'Dados de entrada'!$E$3),,1)+L7*(1-'Dados de entrada'!$E$3)-M7-N7-P7-Q7,L7-M7-N7-P7-Q7))</f>
        <v>2836.9562315915446</v>
      </c>
      <c r="S7" s="74">
        <f t="shared" ca="1" si="0"/>
        <v>121</v>
      </c>
      <c r="T7" s="67">
        <f ca="1">IF(E7&lt;&gt;"",(-E7)/((1+'Dados de entrada'!$B$6)^(S7/30)),"")</f>
        <v>556.49712677477191</v>
      </c>
      <c r="U7" s="67">
        <f t="shared" ca="1" si="1"/>
        <v>67336.152339747408</v>
      </c>
      <c r="V7" s="71">
        <f ca="1">IF(F7="","",-'Dados de entrada'!$B$2)</f>
        <v>-3000</v>
      </c>
      <c r="X7" s="93">
        <f>+Resumo!$E$12-Resumo!$E$20</f>
        <v>0</v>
      </c>
      <c r="Y7" s="116">
        <f t="shared" si="10"/>
        <v>46333</v>
      </c>
      <c r="Z7" s="81">
        <v>30</v>
      </c>
      <c r="AA7" s="81">
        <f t="shared" ca="1" si="11"/>
        <v>118</v>
      </c>
      <c r="AB7" s="93">
        <f>IF(A7&lt;='Dados de entrada'!$B$18,'Dados de entrada'!$B$20,0)</f>
        <v>3000</v>
      </c>
      <c r="AC7" s="93">
        <f>IF(OR(Resumo!$E$23&gt;0,Resumo!$E$28&gt;0,Resumo!$E$33&gt;0),IF(AND(A7&gt;'Dados de entrada'!$B$18,A7&lt;='Dados de entrada'!$B$10),'Dados de entrada'!$B$21,0),IF(AND(A7&gt;'Dados de entrada'!$B$18,A7&lt;='Dados de entrada'!$B$10),'Dados de entrada'!$B$21,IF(A7&lt;='Dados de entrada'!$B$18,X7,0)))</f>
        <v>0</v>
      </c>
      <c r="AD7" s="93">
        <f ca="1">AC7/((1+'Dados de entrada'!$D$22)^($AA7/360))</f>
        <v>0</v>
      </c>
      <c r="AE7" s="93">
        <f>IF(A7&lt;='Dados de entrada'!$B$27,'Dados de entrada'!$B$29,0)</f>
        <v>0</v>
      </c>
      <c r="AF7" s="93">
        <f>IF(AND(A7&gt;'Dados de entrada'!$B$27,A7&lt;='Dados de entrada'!$B$10),'Dados de entrada'!$B$30,0)</f>
        <v>0</v>
      </c>
      <c r="AG7" s="93">
        <f ca="1">AF7/((1+'Dados de entrada'!$D$31)^($AA7/360))</f>
        <v>0</v>
      </c>
      <c r="AH7" s="93">
        <f>IF(A7&lt;='Dados de entrada'!$B$36,'Dados de entrada'!$B$38,0)</f>
        <v>0</v>
      </c>
      <c r="AI7" s="93">
        <f>IF(AND(A7&gt;'Dados de entrada'!$B$36,A7&lt;='Dados de entrada'!$B$10),'Dados de entrada'!$B$39,0)</f>
        <v>0</v>
      </c>
      <c r="AJ7" s="93">
        <f ca="1">AI7/((1+'Dados de entrada'!$D$40)^($AA7/360))</f>
        <v>0</v>
      </c>
      <c r="AK7" s="93">
        <f>IF(A7&lt;='Dados de entrada'!$B$45,'Dados de entrada'!$B$47,0)</f>
        <v>0</v>
      </c>
      <c r="AL7" s="93">
        <f>IF(AND(A7&gt;'Dados de entrada'!$B$45,A7&lt;='Dados de entrada'!$B$10),'Dados de entrada'!$B$48,0)</f>
        <v>0</v>
      </c>
      <c r="AM7" s="93">
        <f ca="1">AL7/((1+'Dados de entrada'!$D$49)^($AA7/360))</f>
        <v>0</v>
      </c>
      <c r="AN7" s="85">
        <f t="shared" si="9"/>
        <v>3000</v>
      </c>
    </row>
    <row r="8" spans="1:50">
      <c r="A8" s="69">
        <f>IF(A7="","",IF(A7+1&lt;='Dados de entrada'!$B$10,A7+1,""))</f>
        <v>5</v>
      </c>
      <c r="B8" s="70">
        <f t="shared" si="2"/>
        <v>46363</v>
      </c>
      <c r="C8" s="69">
        <f t="shared" si="3"/>
        <v>30</v>
      </c>
      <c r="D8" s="71">
        <f ca="1">IF(A8="","",F7*(1+'Dados de entrada'!$B$6)^(C8/30))</f>
        <v>23633.602222865688</v>
      </c>
      <c r="E8" s="71">
        <f ca="1">IF(A8="","",-'Dados de entrada'!$J$20)</f>
        <v>-615.26347669246445</v>
      </c>
      <c r="F8" s="71">
        <f t="shared" ca="1" si="4"/>
        <v>23018.338746173224</v>
      </c>
      <c r="G8" s="71">
        <f t="shared" ca="1" si="5"/>
        <v>34.289585566730238</v>
      </c>
      <c r="H8" s="69">
        <f t="shared" ca="1" si="6"/>
        <v>151</v>
      </c>
      <c r="I8" s="71">
        <f ca="1">IF(A8="","",MIN(H8,365)*G8*'Dados de entrada'!$B$11+G8*'Dados de entrada'!$B$12)</f>
        <v>0.55487407364082875</v>
      </c>
      <c r="J8" s="71">
        <f t="shared" ca="1" si="7"/>
        <v>-3000</v>
      </c>
      <c r="K8" s="71">
        <f t="shared" ca="1" si="8"/>
        <v>-3000</v>
      </c>
      <c r="L8" s="72">
        <f ca="1">IF(A8="","",IF(A8&lt;='Dados de entrada'!$J$2,-V7,-V7*(1-'Dados de entrada'!$J$3)))</f>
        <v>3000</v>
      </c>
      <c r="M8" s="72">
        <f ca="1">IF(A8="","",L8*'Dados de entrada'!$E$4)</f>
        <v>60.599999999999994</v>
      </c>
      <c r="N8" s="72">
        <f ca="1">IF(A8="","",IF(A8&lt;='Dados de entrada'!$E$2,'Dados de entrada'!$E$13*'Dados de entrada'!$E$10/'Dados de entrada'!$B$10,'Dados de entrada'!$E$13*'Dados de entrada'!$E$10/'Dados de entrada'!$B$10*(1-'Dados de entrada'!$E$3)))</f>
        <v>0</v>
      </c>
      <c r="O8" s="71">
        <f ca="1">IF(A8="","",IF(AND(A8='Dados de entrada'!$E$2),(O7*(1+'Dados de entrada'!$B$6)-L8)*(1-'Dados de entrada'!$E$3),IF(AND(A8&lt;&gt;'Dados de entrada'!$A$2),O7*(1+'Dados de entrada'!$B$6)^(C8/30)-L8,"")))</f>
        <v>112236.49518373146</v>
      </c>
      <c r="P8" s="71">
        <f ca="1">IF(A8="","",(O7*((1+'Dados de entrada'!$B$6)^(-DAYS360(B8,B7)/30)-1)-O7*((1+'Dados de entrada'!$H$10)^(-DAYS360(B8,B7)/360)-1))*4.65%)</f>
        <v>102.2953498508988</v>
      </c>
      <c r="Q8" s="75">
        <f ca="1">IF(E8&lt;&gt;"",'Dados de entrada'!$H$5-E8*'Dados de entrada'!$H$6,"")</f>
        <v>0</v>
      </c>
      <c r="R8" s="71">
        <f ca="1">IF(A8="","",IF(A8='Dados de entrada'!$E$2,PV('Dados de entrada'!$B$6,'Dados de entrada'!$B$10-'Dados de entrada'!$E$2+1,+L8*(-'Dados de entrada'!$E$3),,1)+L8*(1-'Dados de entrada'!$E$3)-M8-N8-P8-Q8,L8-M8-N8-P8-Q8))</f>
        <v>2837.1046501491014</v>
      </c>
      <c r="S8" s="74">
        <f t="shared" ca="1" si="0"/>
        <v>151</v>
      </c>
      <c r="T8" s="67">
        <f ca="1">IF(E8&lt;&gt;"",(-E8)/((1+'Dados de entrada'!$B$6)^(S8/30)),"")</f>
        <v>542.81701579999105</v>
      </c>
      <c r="U8" s="67">
        <f t="shared" ca="1" si="1"/>
        <v>81965.369385798651</v>
      </c>
      <c r="V8" s="71">
        <f ca="1">IF(F8="","",-'Dados de entrada'!$B$2)</f>
        <v>-3000</v>
      </c>
      <c r="X8" s="93">
        <f>+Resumo!$E$12-Resumo!$E$20</f>
        <v>0</v>
      </c>
      <c r="Y8" s="116">
        <f t="shared" si="10"/>
        <v>46363</v>
      </c>
      <c r="Z8" s="81">
        <v>30</v>
      </c>
      <c r="AA8" s="81">
        <f t="shared" ca="1" si="11"/>
        <v>148</v>
      </c>
      <c r="AB8" s="93">
        <f>IF(A8&lt;='Dados de entrada'!$B$18,'Dados de entrada'!$B$20,0)</f>
        <v>3000</v>
      </c>
      <c r="AC8" s="93">
        <f>IF(OR(Resumo!$E$23&gt;0,Resumo!$E$28&gt;0,Resumo!$E$33&gt;0),IF(AND(A8&gt;'Dados de entrada'!$B$18,A8&lt;='Dados de entrada'!$B$10),'Dados de entrada'!$B$21,0),IF(AND(A8&gt;'Dados de entrada'!$B$18,A8&lt;='Dados de entrada'!$B$10),'Dados de entrada'!$B$21,IF(A8&lt;='Dados de entrada'!$B$18,X8,0)))</f>
        <v>0</v>
      </c>
      <c r="AD8" s="93">
        <f ca="1">AC8/((1+'Dados de entrada'!$D$22)^($AA8/360))</f>
        <v>0</v>
      </c>
      <c r="AE8" s="93">
        <f>IF(A8&lt;='Dados de entrada'!$B$27,'Dados de entrada'!$B$29,0)</f>
        <v>0</v>
      </c>
      <c r="AF8" s="93">
        <f>IF(AND(A8&gt;'Dados de entrada'!$B$27,A8&lt;='Dados de entrada'!$B$10),'Dados de entrada'!$B$30,0)</f>
        <v>0</v>
      </c>
      <c r="AG8" s="93">
        <f ca="1">AF8/((1+'Dados de entrada'!$D$31)^($AA8/360))</f>
        <v>0</v>
      </c>
      <c r="AH8" s="93">
        <f>IF(A8&lt;='Dados de entrada'!$B$36,'Dados de entrada'!$B$38,0)</f>
        <v>0</v>
      </c>
      <c r="AI8" s="93">
        <f>IF(AND(A8&gt;'Dados de entrada'!$B$36,A8&lt;='Dados de entrada'!$B$10),'Dados de entrada'!$B$39,0)</f>
        <v>0</v>
      </c>
      <c r="AJ8" s="93">
        <f ca="1">AI8/((1+'Dados de entrada'!$D$40)^($AA8/360))</f>
        <v>0</v>
      </c>
      <c r="AK8" s="93">
        <f>IF(A8&lt;='Dados de entrada'!$B$45,'Dados de entrada'!$B$47,0)</f>
        <v>0</v>
      </c>
      <c r="AL8" s="93">
        <f>IF(AND(A8&gt;'Dados de entrada'!$B$45,A8&lt;='Dados de entrada'!$B$10),'Dados de entrada'!$B$48,0)</f>
        <v>0</v>
      </c>
      <c r="AM8" s="93">
        <f ca="1">AL8/((1+'Dados de entrada'!$D$49)^($AA8/360))</f>
        <v>0</v>
      </c>
      <c r="AN8" s="85">
        <f t="shared" si="9"/>
        <v>3000</v>
      </c>
    </row>
    <row r="9" spans="1:50">
      <c r="A9" s="69">
        <f>IF(A8="","",IF(A8+1&lt;='Dados de entrada'!$B$10,A8+1,""))</f>
        <v>6</v>
      </c>
      <c r="B9" s="70">
        <f t="shared" si="2"/>
        <v>46394</v>
      </c>
      <c r="C9" s="69">
        <f t="shared" si="3"/>
        <v>30</v>
      </c>
      <c r="D9" s="71">
        <f ca="1">IF(A9="","",F8*(1+'Dados de entrada'!$B$6)^(C9/30))</f>
        <v>23598.44846885512</v>
      </c>
      <c r="E9" s="71">
        <f ca="1">IF(A9="","",-'Dados de entrada'!$J$20)</f>
        <v>-615.26347669246445</v>
      </c>
      <c r="F9" s="71">
        <f t="shared" ca="1" si="4"/>
        <v>22983.184992162656</v>
      </c>
      <c r="G9" s="71">
        <f t="shared" ca="1" si="5"/>
        <v>35.153754010567354</v>
      </c>
      <c r="H9" s="69">
        <f t="shared" ca="1" si="6"/>
        <v>182</v>
      </c>
      <c r="I9" s="71">
        <f ca="1">IF(A9="","",MIN(H9,365)*G9*'Dados de entrada'!$B$11+G9*'Dados de entrada'!$B$12)</f>
        <v>0.65821889009386314</v>
      </c>
      <c r="J9" s="71">
        <f t="shared" ca="1" si="7"/>
        <v>-3000</v>
      </c>
      <c r="K9" s="71">
        <f t="shared" ca="1" si="8"/>
        <v>-3000</v>
      </c>
      <c r="L9" s="72">
        <f ca="1">IF(A9="","",IF(A9&lt;='Dados de entrada'!$J$2,-V8,-V8*(1-'Dados de entrada'!$J$3)))</f>
        <v>3000</v>
      </c>
      <c r="M9" s="72">
        <f ca="1">IF(A9="","",L9*'Dados de entrada'!$E$4)</f>
        <v>60.599999999999994</v>
      </c>
      <c r="N9" s="72">
        <f ca="1">IF(A9="","",IF(A9&lt;='Dados de entrada'!$E$2,'Dados de entrada'!$E$13*'Dados de entrada'!$E$10/'Dados de entrada'!$B$10,'Dados de entrada'!$E$13*'Dados de entrada'!$E$10/'Dados de entrada'!$B$10*(1-'Dados de entrada'!$E$3)))</f>
        <v>0</v>
      </c>
      <c r="O9" s="71">
        <f ca="1">IF(A9="","",IF(AND(A9='Dados de entrada'!$E$2),(O8*(1+'Dados de entrada'!$B$6)-L9)*(1-'Dados de entrada'!$E$3),IF(AND(A9&lt;&gt;'Dados de entrada'!$A$2),O8*(1+'Dados de entrada'!$B$6)^(C9/30)-L9,"")))</f>
        <v>112065.08689114332</v>
      </c>
      <c r="P9" s="71">
        <f ca="1">IF(A9="","",(O8*((1+'Dados de entrada'!$B$6)^(-DAYS360(B9,B8)/30)-1)-O8*((1+'Dados de entrada'!$H$10)^(-DAYS360(B9,B8)/360)-1))*4.65%)</f>
        <v>102.14319083886281</v>
      </c>
      <c r="Q9" s="75">
        <f ca="1">IF(E9&lt;&gt;"",'Dados de entrada'!$H$5-E9*'Dados de entrada'!$H$6,"")</f>
        <v>0</v>
      </c>
      <c r="R9" s="71">
        <f ca="1">IF(A9="","",IF(A9&gt;'Dados de entrada'!$E$2,PV('Dados de entrada'!$B$6,'Dados de entrada'!$B$10-'Dados de entrada'!$E$2+1,+L9*(-'Dados de entrada'!$E$3),,1)+L9*(1-'Dados de entrada'!$E$3)-M9-N9-P9-Q9,L9-M9-N9-P9-Q9))</f>
        <v>2837.2568091611374</v>
      </c>
      <c r="S9" s="74">
        <f t="shared" ca="1" si="0"/>
        <v>182</v>
      </c>
      <c r="T9" s="67">
        <f ca="1">IF(E9&lt;&gt;"",(-E9)/((1+'Dados de entrada'!$B$6)^(S9/30)),"")</f>
        <v>529.03409729754651</v>
      </c>
      <c r="U9" s="67">
        <f t="shared" ca="1" si="1"/>
        <v>96284.205708153459</v>
      </c>
      <c r="V9" s="71">
        <f ca="1">IF(F9="","",-'Dados de entrada'!$B$2)</f>
        <v>-3000</v>
      </c>
      <c r="X9" s="93">
        <f>+Resumo!$E$12-Resumo!$E$20</f>
        <v>0</v>
      </c>
      <c r="Y9" s="116">
        <f t="shared" si="10"/>
        <v>46394</v>
      </c>
      <c r="Z9" s="81">
        <v>30</v>
      </c>
      <c r="AA9" s="81">
        <f t="shared" ca="1" si="11"/>
        <v>178</v>
      </c>
      <c r="AB9" s="93">
        <f>IF(A9&lt;='Dados de entrada'!$B$18,'Dados de entrada'!$B$20,0)</f>
        <v>3000</v>
      </c>
      <c r="AC9" s="93">
        <f>IF(OR(Resumo!$E$23&gt;0,Resumo!$E$28&gt;0,Resumo!$E$33&gt;0),IF(AND(A9&gt;'Dados de entrada'!$B$18,A9&lt;='Dados de entrada'!$B$10),'Dados de entrada'!$B$21,0),IF(AND(A9&gt;'Dados de entrada'!$B$18,A9&lt;='Dados de entrada'!$B$10),'Dados de entrada'!$B$21,IF(A9&lt;='Dados de entrada'!$B$18,X9,0)))</f>
        <v>0</v>
      </c>
      <c r="AD9" s="93">
        <f ca="1">AC9/((1+'Dados de entrada'!$D$22)^($AA9/360))</f>
        <v>0</v>
      </c>
      <c r="AE9" s="93">
        <f>IF(A9&lt;='Dados de entrada'!$B$27,'Dados de entrada'!$B$29,0)</f>
        <v>0</v>
      </c>
      <c r="AF9" s="93">
        <f>IF(AND(A9&gt;'Dados de entrada'!$B$27,A9&lt;='Dados de entrada'!$B$10),'Dados de entrada'!$B$30,0)</f>
        <v>0</v>
      </c>
      <c r="AG9" s="93">
        <f ca="1">AF9/((1+'Dados de entrada'!$D$31)^($AA9/360))</f>
        <v>0</v>
      </c>
      <c r="AH9" s="93">
        <f>IF(A9&lt;='Dados de entrada'!$B$36,'Dados de entrada'!$B$38,0)</f>
        <v>0</v>
      </c>
      <c r="AI9" s="93">
        <f>IF(AND(A9&gt;'Dados de entrada'!$B$36,A9&lt;='Dados de entrada'!$B$10),'Dados de entrada'!$B$39,0)</f>
        <v>0</v>
      </c>
      <c r="AJ9" s="93">
        <f ca="1">AI9/((1+'Dados de entrada'!$D$40)^($AA9/360))</f>
        <v>0</v>
      </c>
      <c r="AK9" s="93">
        <f>IF(A9&lt;='Dados de entrada'!$B$45,'Dados de entrada'!$B$47,0)</f>
        <v>0</v>
      </c>
      <c r="AL9" s="93">
        <f>IF(AND(A9&gt;'Dados de entrada'!$B$45,A9&lt;='Dados de entrada'!$B$10),'Dados de entrada'!$B$48,0)</f>
        <v>0</v>
      </c>
      <c r="AM9" s="93">
        <f ca="1">AL9/((1+'Dados de entrada'!$D$49)^($AA9/360))</f>
        <v>0</v>
      </c>
      <c r="AN9" s="85">
        <f t="shared" si="9"/>
        <v>3000</v>
      </c>
    </row>
    <row r="10" spans="1:50">
      <c r="A10" s="69">
        <f>IF(A9="","",IF(A9+1&lt;='Dados de entrada'!$B$10,A9+1,""))</f>
        <v>7</v>
      </c>
      <c r="B10" s="70">
        <f t="shared" si="2"/>
        <v>46425</v>
      </c>
      <c r="C10" s="69">
        <f t="shared" si="3"/>
        <v>30</v>
      </c>
      <c r="D10" s="71">
        <f ca="1">IF(A10="","",F9*(1+'Dados de entrada'!$B$6)^(C10/30))</f>
        <v>23562.408767569421</v>
      </c>
      <c r="E10" s="71">
        <f ca="1">IF(A10="","",-'Dados de entrada'!$J$20)</f>
        <v>-615.26347669246445</v>
      </c>
      <c r="F10" s="71">
        <f t="shared" ca="1" si="4"/>
        <v>22947.145290876957</v>
      </c>
      <c r="G10" s="71">
        <f t="shared" ca="1" si="5"/>
        <v>36.039701285699266</v>
      </c>
      <c r="H10" s="69">
        <f t="shared" ca="1" si="6"/>
        <v>213</v>
      </c>
      <c r="I10" s="71">
        <f ca="1">IF(A10="","",MIN(H10,365)*G10*'Dados de entrada'!$B$11+G10*'Dados de entrada'!$B$12)</f>
        <v>0.76642028754168057</v>
      </c>
      <c r="J10" s="71">
        <f t="shared" ca="1" si="7"/>
        <v>-3000</v>
      </c>
      <c r="K10" s="71">
        <f t="shared" ca="1" si="8"/>
        <v>-3000</v>
      </c>
      <c r="L10" s="72">
        <f ca="1">IF(A10="","",IF(A10&lt;='Dados de entrada'!$J$2,-V9,-V9*(1-'Dados de entrada'!$J$3)))</f>
        <v>3000</v>
      </c>
      <c r="M10" s="72">
        <f ca="1">IF(A10="","",L10*'Dados de entrada'!$E$4)</f>
        <v>60.599999999999994</v>
      </c>
      <c r="N10" s="72">
        <f ca="1">IF(A10="","",IF(A10&lt;='Dados de entrada'!$E$2,'Dados de entrada'!$E$13*'Dados de entrada'!$E$10/'Dados de entrada'!$B$10,'Dados de entrada'!$E$13*'Dados de entrada'!$E$10/'Dados de entrada'!$B$10*(1-'Dados de entrada'!$E$3)))</f>
        <v>0</v>
      </c>
      <c r="O10" s="71">
        <f ca="1">IF(A10="","",IF(AND(A10='Dados de entrada'!$E$2),(O9*(1+'Dados de entrada'!$B$6)-L10)*(1-'Dados de entrada'!$E$3),IF(AND(A10&lt;&gt;'Dados de entrada'!$A$2),O9*(1+'Dados de entrada'!$B$6)^(C10/30)-L10,"")))</f>
        <v>111889.35875522612</v>
      </c>
      <c r="P10" s="71">
        <f ca="1">IF(A10="","",(O9*((1+'Dados de entrada'!$B$6)^(-DAYS360(B10,B9)/30)-1)-O9*((1+'Dados de entrada'!$H$10)^(-DAYS360(B10,B9)/360)-1))*4.65%)</f>
        <v>101.98719710516208</v>
      </c>
      <c r="Q10" s="75">
        <f ca="1">IF(E10&lt;&gt;"",'Dados de entrada'!$H$5-E10*'Dados de entrada'!$H$6,"")</f>
        <v>0</v>
      </c>
      <c r="R10" s="71">
        <f ca="1">IF(A10="","",IF(A10='Dados de entrada'!$E$2,PV('Dados de entrada'!$B$6,'Dados de entrada'!$B$10-'Dados de entrada'!$E$2+1,+L10*(-'Dados de entrada'!$E$3),,1)+L10*(1-'Dados de entrada'!$E$3)-M10-N10-P10-Q10,L10-M10-N10-P10-Q10))</f>
        <v>2837.412802894838</v>
      </c>
      <c r="S10" s="74">
        <f t="shared" ca="1" si="0"/>
        <v>213</v>
      </c>
      <c r="T10" s="67">
        <f ca="1">IF(E10&lt;&gt;"",(-E10)/((1+'Dados de entrada'!$B$6)^(S10/30)),"")</f>
        <v>515.60114726866777</v>
      </c>
      <c r="U10" s="67">
        <f t="shared" ca="1" si="1"/>
        <v>109823.04436822624</v>
      </c>
      <c r="V10" s="71">
        <f ca="1">IF(F10="","",-'Dados de entrada'!$B$2)</f>
        <v>-3000</v>
      </c>
      <c r="X10" s="93">
        <f>+Resumo!$E$12-Resumo!$E$20</f>
        <v>0</v>
      </c>
      <c r="Y10" s="116">
        <f t="shared" si="10"/>
        <v>46425</v>
      </c>
      <c r="Z10" s="81">
        <v>30</v>
      </c>
      <c r="AA10" s="81">
        <f t="shared" ca="1" si="11"/>
        <v>208</v>
      </c>
      <c r="AB10" s="93">
        <f>IF(A10&lt;='Dados de entrada'!$B$18,'Dados de entrada'!$B$20,0)</f>
        <v>3000</v>
      </c>
      <c r="AC10" s="93">
        <f>IF(OR(Resumo!$E$23&gt;0,Resumo!$E$28&gt;0,Resumo!$E$33&gt;0),IF(AND(A10&gt;'Dados de entrada'!$B$18,A10&lt;='Dados de entrada'!$B$10),'Dados de entrada'!$B$21,0),IF(AND(A10&gt;'Dados de entrada'!$B$18,A10&lt;='Dados de entrada'!$B$10),'Dados de entrada'!$B$21,IF(A10&lt;='Dados de entrada'!$B$18,X10,0)))</f>
        <v>0</v>
      </c>
      <c r="AD10" s="93">
        <f ca="1">AC10/((1+'Dados de entrada'!$D$22)^($AA10/360))</f>
        <v>0</v>
      </c>
      <c r="AE10" s="93">
        <f>IF(A10&lt;='Dados de entrada'!$B$27,'Dados de entrada'!$B$29,0)</f>
        <v>0</v>
      </c>
      <c r="AF10" s="93">
        <f>IF(AND(A10&gt;'Dados de entrada'!$B$27,A10&lt;='Dados de entrada'!$B$10),'Dados de entrada'!$B$30,0)</f>
        <v>0</v>
      </c>
      <c r="AG10" s="93">
        <f ca="1">AF10/((1+'Dados de entrada'!$D$31)^($AA10/360))</f>
        <v>0</v>
      </c>
      <c r="AH10" s="93">
        <f>IF(A10&lt;='Dados de entrada'!$B$36,'Dados de entrada'!$B$38,0)</f>
        <v>0</v>
      </c>
      <c r="AI10" s="93">
        <f>IF(AND(A10&gt;'Dados de entrada'!$B$36,A10&lt;='Dados de entrada'!$B$10),'Dados de entrada'!$B$39,0)</f>
        <v>0</v>
      </c>
      <c r="AJ10" s="93">
        <f ca="1">AI10/((1+'Dados de entrada'!$D$40)^($AA10/360))</f>
        <v>0</v>
      </c>
      <c r="AK10" s="93">
        <f>IF(A10&lt;='Dados de entrada'!$B$45,'Dados de entrada'!$B$47,0)</f>
        <v>0</v>
      </c>
      <c r="AL10" s="93">
        <f>IF(AND(A10&gt;'Dados de entrada'!$B$45,A10&lt;='Dados de entrada'!$B$10),'Dados de entrada'!$B$48,0)</f>
        <v>0</v>
      </c>
      <c r="AM10" s="93">
        <f ca="1">AL10/((1+'Dados de entrada'!$D$49)^($AA10/360))</f>
        <v>0</v>
      </c>
      <c r="AN10" s="85">
        <f t="shared" si="9"/>
        <v>3000</v>
      </c>
    </row>
    <row r="11" spans="1:50">
      <c r="A11" s="69">
        <f>IF(A10="","",IF(A10+1&lt;='Dados de entrada'!$B$10,A10+1,""))</f>
        <v>8</v>
      </c>
      <c r="B11" s="70">
        <f t="shared" si="2"/>
        <v>46453</v>
      </c>
      <c r="C11" s="69">
        <f t="shared" si="3"/>
        <v>30</v>
      </c>
      <c r="D11" s="71">
        <f ca="1">IF(A11="","",F10*(1+'Dados de entrada'!$B$6)^(C11/30))</f>
        <v>23525.460791305715</v>
      </c>
      <c r="E11" s="71">
        <f ca="1">IF(A11="","",-'Dados de entrada'!$J$20)</f>
        <v>-615.26347669246445</v>
      </c>
      <c r="F11" s="71">
        <f t="shared" ca="1" si="4"/>
        <v>22910.197314613251</v>
      </c>
      <c r="G11" s="71">
        <f t="shared" ca="1" si="5"/>
        <v>36.947976263705641</v>
      </c>
      <c r="H11" s="69">
        <f t="shared" ca="1" si="6"/>
        <v>241</v>
      </c>
      <c r="I11" s="71">
        <f ca="1">IF(A11="","",MIN(H11,365)*G11*'Dados de entrada'!$B$11+G11*'Dados de entrada'!$B$12)</f>
        <v>0.87056821672543239</v>
      </c>
      <c r="J11" s="71">
        <f t="shared" ca="1" si="7"/>
        <v>-3000</v>
      </c>
      <c r="K11" s="71">
        <f t="shared" ca="1" si="8"/>
        <v>-3000</v>
      </c>
      <c r="L11" s="72">
        <f ca="1">IF(A11="","",IF(A11&lt;='Dados de entrada'!$J$2,-V10,-V10*(1-'Dados de entrada'!$J$3)))</f>
        <v>3000</v>
      </c>
      <c r="M11" s="72">
        <f ca="1">IF(A11="","",L11*'Dados de entrada'!$E$4)</f>
        <v>60.599999999999994</v>
      </c>
      <c r="N11" s="72">
        <f ca="1">IF(A11="","",IF(A11&lt;='Dados de entrada'!$E$2,'Dados de entrada'!$E$13*'Dados de entrada'!$E$10/'Dados de entrada'!$B$10,'Dados de entrada'!$E$13*'Dados de entrada'!$E$10/'Dados de entrada'!$B$10*(1-'Dados de entrada'!$E$3)))</f>
        <v>0</v>
      </c>
      <c r="O11" s="71">
        <f ca="1">IF(A11="","",IF(AND(A11='Dados de entrada'!$E$2),(O10*(1+'Dados de entrada'!$B$6)-L11)*(1-'Dados de entrada'!$E$3),IF(AND(A11&lt;&gt;'Dados de entrada'!$A$2),O10*(1+'Dados de entrada'!$B$6)^(C11/30)-L11,"")))</f>
        <v>111709.20190699746</v>
      </c>
      <c r="P11" s="71">
        <f ca="1">IF(A11="","",(O10*((1+'Dados de entrada'!$B$6)^(-DAYS360(B11,B10)/30)-1)-O10*((1+'Dados de entrada'!$H$10)^(-DAYS360(B11,B10)/360)-1))*4.65%)</f>
        <v>101.82727200688308</v>
      </c>
      <c r="Q11" s="75">
        <f ca="1">IF(E11&lt;&gt;"",'Dados de entrada'!$H$5-E11*'Dados de entrada'!$H$6,"")</f>
        <v>0</v>
      </c>
      <c r="R11" s="71">
        <f ca="1">IF(A11="","",IF(A11='Dados de entrada'!$E$2,PV('Dados de entrada'!$B$6,'Dados de entrada'!$B$10-'Dados de entrada'!$E$2+1,+L11*(-'Dados de entrada'!$E$3),,1)+L11*(1-'Dados de entrada'!$E$3)-M11-N11-P11-Q11,L11-M11-N11-P11-Q11))</f>
        <v>2837.572727993117</v>
      </c>
      <c r="S11" s="74">
        <f t="shared" ca="1" si="0"/>
        <v>241</v>
      </c>
      <c r="T11" s="67">
        <f ca="1">IF(E11&lt;&gt;"",(-E11)/((1+'Dados de entrada'!$B$6)^(S11/30)),"")</f>
        <v>503.7615694430919</v>
      </c>
      <c r="U11" s="67">
        <f t="shared" ca="1" si="1"/>
        <v>121406.53823578515</v>
      </c>
      <c r="V11" s="71">
        <f ca="1">IF(F11="","",-'Dados de entrada'!$B$2)</f>
        <v>-3000</v>
      </c>
      <c r="X11" s="93">
        <f>+Resumo!$E$12-Resumo!$E$20</f>
        <v>0</v>
      </c>
      <c r="Y11" s="116">
        <f t="shared" si="10"/>
        <v>46453</v>
      </c>
      <c r="Z11" s="81">
        <v>30</v>
      </c>
      <c r="AA11" s="81">
        <f t="shared" ca="1" si="11"/>
        <v>238</v>
      </c>
      <c r="AB11" s="93">
        <f>IF(A11&lt;='Dados de entrada'!$B$18,'Dados de entrada'!$B$20,0)</f>
        <v>3000</v>
      </c>
      <c r="AC11" s="93">
        <f>IF(OR(Resumo!$E$23&gt;0,Resumo!$E$28&gt;0,Resumo!$E$33&gt;0),IF(AND(A11&gt;'Dados de entrada'!$B$18,A11&lt;='Dados de entrada'!$B$10),'Dados de entrada'!$B$21,0),IF(AND(A11&gt;'Dados de entrada'!$B$18,A11&lt;='Dados de entrada'!$B$10),'Dados de entrada'!$B$21,IF(A11&lt;='Dados de entrada'!$B$18,X11,0)))</f>
        <v>0</v>
      </c>
      <c r="AD11" s="93">
        <f ca="1">AC11/((1+'Dados de entrada'!$D$22)^($AA11/360))</f>
        <v>0</v>
      </c>
      <c r="AE11" s="93">
        <f>IF(A11&lt;='Dados de entrada'!$B$27,'Dados de entrada'!$B$29,0)</f>
        <v>0</v>
      </c>
      <c r="AF11" s="93">
        <f>IF(AND(A11&gt;'Dados de entrada'!$B$27,A11&lt;='Dados de entrada'!$B$10),'Dados de entrada'!$B$30,0)</f>
        <v>0</v>
      </c>
      <c r="AG11" s="93">
        <f ca="1">AF11/((1+'Dados de entrada'!$D$31)^($AA11/360))</f>
        <v>0</v>
      </c>
      <c r="AH11" s="93">
        <f>IF(A11&lt;='Dados de entrada'!$B$36,'Dados de entrada'!$B$38,0)</f>
        <v>0</v>
      </c>
      <c r="AI11" s="93">
        <f>IF(AND(A11&gt;'Dados de entrada'!$B$36,A11&lt;='Dados de entrada'!$B$10),'Dados de entrada'!$B$39,0)</f>
        <v>0</v>
      </c>
      <c r="AJ11" s="93">
        <f ca="1">AI11/((1+'Dados de entrada'!$D$40)^($AA11/360))</f>
        <v>0</v>
      </c>
      <c r="AK11" s="93">
        <f>IF(A11&lt;='Dados de entrada'!$B$45,'Dados de entrada'!$B$47,0)</f>
        <v>0</v>
      </c>
      <c r="AL11" s="93">
        <f>IF(AND(A11&gt;'Dados de entrada'!$B$45,A11&lt;='Dados de entrada'!$B$10),'Dados de entrada'!$B$48,0)</f>
        <v>0</v>
      </c>
      <c r="AM11" s="93">
        <f ca="1">AL11/((1+'Dados de entrada'!$D$49)^($AA11/360))</f>
        <v>0</v>
      </c>
      <c r="AN11" s="85">
        <f t="shared" si="9"/>
        <v>3000</v>
      </c>
    </row>
    <row r="12" spans="1:50">
      <c r="A12" s="69">
        <f>IF(A11="","",IF(A11+1&lt;='Dados de entrada'!$B$10,A11+1,""))</f>
        <v>9</v>
      </c>
      <c r="B12" s="70">
        <f t="shared" si="2"/>
        <v>46484</v>
      </c>
      <c r="C12" s="69">
        <f t="shared" si="3"/>
        <v>30</v>
      </c>
      <c r="D12" s="71">
        <f ca="1">IF(A12="","",F11*(1+'Dados de entrada'!$B$6)^(C12/30))</f>
        <v>23487.581649656862</v>
      </c>
      <c r="E12" s="71">
        <f ca="1">IF(A12="","",-'Dados de entrada'!$J$20)</f>
        <v>-615.26347669246445</v>
      </c>
      <c r="F12" s="71">
        <f t="shared" ca="1" si="4"/>
        <v>22872.318172964398</v>
      </c>
      <c r="G12" s="71">
        <f t="shared" ca="1" si="5"/>
        <v>37.879141648852965</v>
      </c>
      <c r="H12" s="69">
        <f t="shared" ca="1" si="6"/>
        <v>272</v>
      </c>
      <c r="I12" s="71">
        <f ca="1">IF(A12="","",MIN(H12,365)*G12*'Dados de entrada'!$B$11+G12*'Dados de entrada'!$B$12)</f>
        <v>0.98879711360165778</v>
      </c>
      <c r="J12" s="71">
        <f t="shared" ca="1" si="7"/>
        <v>-3000</v>
      </c>
      <c r="K12" s="71">
        <f t="shared" ca="1" si="8"/>
        <v>-3000</v>
      </c>
      <c r="L12" s="72">
        <f ca="1">IF(A12="","",IF(A12&lt;='Dados de entrada'!$J$2,-V11,-V11*(1-'Dados de entrada'!$J$3)))</f>
        <v>3000</v>
      </c>
      <c r="M12" s="72">
        <f ca="1">IF(A12="","",L12*'Dados de entrada'!$E$4)</f>
        <v>60.599999999999994</v>
      </c>
      <c r="N12" s="72">
        <f ca="1">IF(A12="","",IF(A12&lt;='Dados de entrada'!$E$2,'Dados de entrada'!$E$13*'Dados de entrada'!$E$10/'Dados de entrada'!$B$10,'Dados de entrada'!$E$13*'Dados de entrada'!$E$10/'Dados de entrada'!$B$10*(1-'Dados de entrada'!$E$3)))</f>
        <v>0</v>
      </c>
      <c r="O12" s="71">
        <f ca="1">IF(A12="","",IF(AND(A12='Dados de entrada'!$E$2),(O11*(1+'Dados de entrada'!$B$6)-L12)*(1-'Dados de entrada'!$E$3),IF(AND(A12&lt;&gt;'Dados de entrada'!$A$2),O11*(1+'Dados de entrada'!$B$6)^(C12/30)-L12,"")))</f>
        <v>111524.50473375154</v>
      </c>
      <c r="P12" s="71">
        <f ca="1">IF(A12="","",(O11*((1+'Dados de entrada'!$B$6)^(-DAYS360(B12,B11)/30)-1)-O11*((1+'Dados de entrada'!$H$10)^(-DAYS360(B12,B11)/360)-1))*4.65%)</f>
        <v>101.66331646551106</v>
      </c>
      <c r="Q12" s="75">
        <f ca="1">IF(E12&lt;&gt;"",'Dados de entrada'!$H$5-E12*'Dados de entrada'!$H$6,"")</f>
        <v>0</v>
      </c>
      <c r="R12" s="71">
        <f ca="1">IF(A12="","",IF(A12='Dados de entrada'!$E$2,PV('Dados de entrada'!$B$6,'Dados de entrada'!$B$10-'Dados de entrada'!$E$2+1,+L12*(-'Dados de entrada'!$E$3),,1)+L12*(1-'Dados de entrada'!$E$3)-M12-N12-P12-Q12,L12-M12-N12-P12-Q12))</f>
        <v>2837.7366835344892</v>
      </c>
      <c r="S12" s="74">
        <f t="shared" ca="1" si="0"/>
        <v>272</v>
      </c>
      <c r="T12" s="67">
        <f ca="1">IF(E12&lt;&gt;"",(-E12)/((1+'Dados de entrada'!$B$6)^(S12/30)),"")</f>
        <v>490.97032588550962</v>
      </c>
      <c r="U12" s="67">
        <f t="shared" ca="1" si="1"/>
        <v>133543.92864085862</v>
      </c>
      <c r="V12" s="71">
        <f ca="1">IF(F12="","",-'Dados de entrada'!$B$2)</f>
        <v>-3000</v>
      </c>
      <c r="X12" s="93">
        <f>+Resumo!$E$12-Resumo!$E$20</f>
        <v>0</v>
      </c>
      <c r="Y12" s="116">
        <f t="shared" si="10"/>
        <v>46484</v>
      </c>
      <c r="Z12" s="81">
        <v>30</v>
      </c>
      <c r="AA12" s="81">
        <f t="shared" ca="1" si="11"/>
        <v>268</v>
      </c>
      <c r="AB12" s="93">
        <f>IF(A12&lt;='Dados de entrada'!$B$18,'Dados de entrada'!$B$20,0)</f>
        <v>3000</v>
      </c>
      <c r="AC12" s="93">
        <f>IF(OR(Resumo!$E$23&gt;0,Resumo!$E$28&gt;0,Resumo!$E$33&gt;0),IF(AND(A12&gt;'Dados de entrada'!$B$18,A12&lt;='Dados de entrada'!$B$10),'Dados de entrada'!$B$21,0),IF(AND(A12&gt;'Dados de entrada'!$B$18,A12&lt;='Dados de entrada'!$B$10),'Dados de entrada'!$B$21,IF(A12&lt;='Dados de entrada'!$B$18,X12,0)))</f>
        <v>0</v>
      </c>
      <c r="AD12" s="93">
        <f ca="1">AC12/((1+'Dados de entrada'!$D$22)^($AA12/360))</f>
        <v>0</v>
      </c>
      <c r="AE12" s="93">
        <f>IF(A12&lt;='Dados de entrada'!$B$27,'Dados de entrada'!$B$29,0)</f>
        <v>0</v>
      </c>
      <c r="AF12" s="93">
        <f>IF(AND(A12&gt;'Dados de entrada'!$B$27,A12&lt;='Dados de entrada'!$B$10),'Dados de entrada'!$B$30,0)</f>
        <v>0</v>
      </c>
      <c r="AG12" s="93">
        <f ca="1">AF12/((1+'Dados de entrada'!$D$31)^($AA12/360))</f>
        <v>0</v>
      </c>
      <c r="AH12" s="93">
        <f>IF(A12&lt;='Dados de entrada'!$B$36,'Dados de entrada'!$B$38,0)</f>
        <v>0</v>
      </c>
      <c r="AI12" s="93">
        <f>IF(AND(A12&gt;'Dados de entrada'!$B$36,A12&lt;='Dados de entrada'!$B$10),'Dados de entrada'!$B$39,0)</f>
        <v>0</v>
      </c>
      <c r="AJ12" s="93">
        <f ca="1">AI12/((1+'Dados de entrada'!$D$40)^($AA12/360))</f>
        <v>0</v>
      </c>
      <c r="AK12" s="93">
        <f>IF(A12&lt;='Dados de entrada'!$B$45,'Dados de entrada'!$B$47,0)</f>
        <v>0</v>
      </c>
      <c r="AL12" s="93">
        <f>IF(AND(A12&gt;'Dados de entrada'!$B$45,A12&lt;='Dados de entrada'!$B$10),'Dados de entrada'!$B$48,0)</f>
        <v>0</v>
      </c>
      <c r="AM12" s="93">
        <f ca="1">AL12/((1+'Dados de entrada'!$D$49)^($AA12/360))</f>
        <v>0</v>
      </c>
      <c r="AN12" s="85">
        <f t="shared" si="9"/>
        <v>3000</v>
      </c>
    </row>
    <row r="13" spans="1:50">
      <c r="A13" s="69">
        <f>IF(A12="","",IF(A12+1&lt;='Dados de entrada'!$B$10,A12+1,""))</f>
        <v>10</v>
      </c>
      <c r="B13" s="70">
        <f t="shared" si="2"/>
        <v>46514</v>
      </c>
      <c r="C13" s="69">
        <f t="shared" si="3"/>
        <v>30</v>
      </c>
      <c r="D13" s="71">
        <f ca="1">IF(A13="","",F12*(1+'Dados de entrada'!$B$6)^(C13/30))</f>
        <v>23448.747875330144</v>
      </c>
      <c r="E13" s="71">
        <f ca="1">IF(A13="","",-'Dados de entrada'!$J$20)</f>
        <v>-615.26347669246445</v>
      </c>
      <c r="F13" s="71">
        <f t="shared" ca="1" si="4"/>
        <v>22833.48439863768</v>
      </c>
      <c r="G13" s="71">
        <f t="shared" ca="1" si="5"/>
        <v>38.833774326718412</v>
      </c>
      <c r="H13" s="69">
        <f t="shared" ca="1" si="6"/>
        <v>302</v>
      </c>
      <c r="I13" s="71">
        <f ca="1">IF(A13="","",MIN(H13,365)*G13*'Dados de entrada'!$B$11+G13*'Dados de entrada'!$B$12)</f>
        <v>1.1092479298683848</v>
      </c>
      <c r="J13" s="71">
        <f t="shared" ca="1" si="7"/>
        <v>-3000</v>
      </c>
      <c r="K13" s="71">
        <f t="shared" ca="1" si="8"/>
        <v>-3000</v>
      </c>
      <c r="L13" s="72">
        <f ca="1">IF(A13="","",IF(A13&lt;='Dados de entrada'!$J$2,-V12,-V12*(1-'Dados de entrada'!$J$3)))</f>
        <v>3000</v>
      </c>
      <c r="M13" s="72">
        <f ca="1">IF(A13="","",L13*'Dados de entrada'!$E$4)</f>
        <v>60.599999999999994</v>
      </c>
      <c r="N13" s="72">
        <f ca="1">IF(A13="","",IF(A13&lt;='Dados de entrada'!$E$2,'Dados de entrada'!$E$13*'Dados de entrada'!$E$10/'Dados de entrada'!$B$10,'Dados de entrada'!$E$13*'Dados de entrada'!$E$10/'Dados de entrada'!$B$10*(1-'Dados de entrada'!$E$3)))</f>
        <v>0</v>
      </c>
      <c r="O13" s="71">
        <f ca="1">IF(A13="","",IF(AND(A13='Dados de entrada'!$E$2),(O12*(1+'Dados de entrada'!$B$6)-L13)*(1-'Dados de entrada'!$E$3),IF(AND(A13&lt;&gt;'Dados de entrada'!$A$2),O12*(1+'Dados de entrada'!$B$6)^(C13/30)-L13,"")))</f>
        <v>111335.15280991161</v>
      </c>
      <c r="P13" s="71">
        <f ca="1">IF(A13="","",(O12*((1+'Dados de entrada'!$B$6)^(-DAYS360(B13,B12)/30)-1)-O12*((1+'Dados de entrada'!$H$10)^(-DAYS360(B13,B12)/360)-1))*4.65%)</f>
        <v>101.49522890554783</v>
      </c>
      <c r="Q13" s="75">
        <f ca="1">IF(E13&lt;&gt;"",'Dados de entrada'!$H$5-E13*'Dados de entrada'!$H$6,"")</f>
        <v>0</v>
      </c>
      <c r="R13" s="71">
        <f ca="1">IF(A13="","",IF(A13='Dados de entrada'!$E$2,PV('Dados de entrada'!$B$6,'Dados de entrada'!$B$10-'Dados de entrada'!$E$2+1,+L13*(-'Dados de entrada'!$E$3),,1)+L13*(1-'Dados de entrada'!$E$3)-M13-N13-P13-Q13,L13-M13-N13-P13-Q13))</f>
        <v>2837.9047710944524</v>
      </c>
      <c r="S13" s="74">
        <f t="shared" ca="1" si="0"/>
        <v>302</v>
      </c>
      <c r="T13" s="67">
        <f ca="1">IF(E13&lt;&gt;"",(-E13)/((1+'Dados de entrada'!$B$6)^(S13/30)),"")</f>
        <v>478.90102989046227</v>
      </c>
      <c r="U13" s="67">
        <f t="shared" ca="1" si="1"/>
        <v>144628.11102691959</v>
      </c>
      <c r="V13" s="71">
        <f ca="1">IF(F13="","",-'Dados de entrada'!$B$2)</f>
        <v>-3000</v>
      </c>
      <c r="X13" s="93">
        <f>+Resumo!$E$12-Resumo!$E$20</f>
        <v>0</v>
      </c>
      <c r="Y13" s="116">
        <f t="shared" si="10"/>
        <v>46514</v>
      </c>
      <c r="Z13" s="81">
        <v>30</v>
      </c>
      <c r="AA13" s="81">
        <f t="shared" ca="1" si="11"/>
        <v>298</v>
      </c>
      <c r="AB13" s="93">
        <f>IF(A13&lt;='Dados de entrada'!$B$18,'Dados de entrada'!$B$20,0)</f>
        <v>3000</v>
      </c>
      <c r="AC13" s="93">
        <f>IF(OR(Resumo!$E$23&gt;0,Resumo!$E$28&gt;0,Resumo!$E$33&gt;0),IF(AND(A13&gt;'Dados de entrada'!$B$18,A13&lt;='Dados de entrada'!$B$10),'Dados de entrada'!$B$21,0),IF(AND(A13&gt;'Dados de entrada'!$B$18,A13&lt;='Dados de entrada'!$B$10),'Dados de entrada'!$B$21,IF(A13&lt;='Dados de entrada'!$B$18,X13,0)))</f>
        <v>0</v>
      </c>
      <c r="AD13" s="93">
        <f ca="1">AC13/((1+'Dados de entrada'!$D$22)^($AA13/360))</f>
        <v>0</v>
      </c>
      <c r="AE13" s="93">
        <f>IF(A13&lt;='Dados de entrada'!$B$27,'Dados de entrada'!$B$29,0)</f>
        <v>0</v>
      </c>
      <c r="AF13" s="93">
        <f>IF(AND(A13&gt;'Dados de entrada'!$B$27,A13&lt;='Dados de entrada'!$B$10),'Dados de entrada'!$B$30,0)</f>
        <v>0</v>
      </c>
      <c r="AG13" s="93">
        <f ca="1">AF13/((1+'Dados de entrada'!$D$31)^($AA13/360))</f>
        <v>0</v>
      </c>
      <c r="AH13" s="93">
        <f>IF(A13&lt;='Dados de entrada'!$B$36,'Dados de entrada'!$B$38,0)</f>
        <v>0</v>
      </c>
      <c r="AI13" s="93">
        <f>IF(AND(A13&gt;'Dados de entrada'!$B$36,A13&lt;='Dados de entrada'!$B$10),'Dados de entrada'!$B$39,0)</f>
        <v>0</v>
      </c>
      <c r="AJ13" s="93">
        <f ca="1">AI13/((1+'Dados de entrada'!$D$40)^($AA13/360))</f>
        <v>0</v>
      </c>
      <c r="AK13" s="93">
        <f>IF(A13&lt;='Dados de entrada'!$B$45,'Dados de entrada'!$B$47,0)</f>
        <v>0</v>
      </c>
      <c r="AL13" s="93">
        <f>IF(AND(A13&gt;'Dados de entrada'!$B$45,A13&lt;='Dados de entrada'!$B$10),'Dados de entrada'!$B$48,0)</f>
        <v>0</v>
      </c>
      <c r="AM13" s="93">
        <f ca="1">AL13/((1+'Dados de entrada'!$D$49)^($AA13/360))</f>
        <v>0</v>
      </c>
      <c r="AN13" s="85">
        <f t="shared" si="9"/>
        <v>3000</v>
      </c>
    </row>
    <row r="14" spans="1:50">
      <c r="A14" s="69">
        <f>IF(A13="","",IF(A13+1&lt;='Dados de entrada'!$B$10,A13+1,""))</f>
        <v>11</v>
      </c>
      <c r="B14" s="70">
        <f t="shared" si="2"/>
        <v>46545</v>
      </c>
      <c r="C14" s="69">
        <f t="shared" si="3"/>
        <v>30</v>
      </c>
      <c r="D14" s="71">
        <f ca="1">IF(A14="","",F13*(1+'Dados de entrada'!$B$6)^(C14/30))</f>
        <v>23408.935409608541</v>
      </c>
      <c r="E14" s="71">
        <f ca="1">IF(A14="","",-'Dados de entrada'!$J$20)</f>
        <v>-615.26347669246445</v>
      </c>
      <c r="F14" s="71">
        <f t="shared" ca="1" si="4"/>
        <v>22793.671932916077</v>
      </c>
      <c r="G14" s="71">
        <f t="shared" ca="1" si="5"/>
        <v>39.812465721603076</v>
      </c>
      <c r="H14" s="69">
        <f t="shared" ca="1" si="6"/>
        <v>333</v>
      </c>
      <c r="I14" s="71">
        <f ca="1">IF(A14="","",MIN(H14,365)*G14*'Dados de entrada'!$B$11+G14*'Dados de entrada'!$B$12)</f>
        <v>1.2384065587361854</v>
      </c>
      <c r="J14" s="71">
        <f t="shared" ca="1" si="7"/>
        <v>-3000</v>
      </c>
      <c r="K14" s="71">
        <f t="shared" ca="1" si="8"/>
        <v>-3000</v>
      </c>
      <c r="L14" s="72">
        <f ca="1">IF(A14="","",IF(A14&lt;='Dados de entrada'!$J$2,-V13,-V13*(1-'Dados de entrada'!$J$3)))</f>
        <v>3000</v>
      </c>
      <c r="M14" s="72">
        <f ca="1">IF(A14="","",L14*'Dados de entrada'!$E$4)</f>
        <v>60.599999999999994</v>
      </c>
      <c r="N14" s="72">
        <f ca="1">IF(A14="","",IF(A14&lt;='Dados de entrada'!$E$2,'Dados de entrada'!$E$13*'Dados de entrada'!$E$10/'Dados de entrada'!$B$10,'Dados de entrada'!$E$13*'Dados de entrada'!$E$10/'Dados de entrada'!$B$10*(1-'Dados de entrada'!$E$3)))</f>
        <v>0</v>
      </c>
      <c r="O14" s="71">
        <f ca="1">IF(A14="","",IF(AND(A14='Dados de entrada'!$E$2),(O13*(1+'Dados de entrada'!$B$6)-L14)*(1-'Dados de entrada'!$E$3),IF(AND(A14&lt;&gt;'Dados de entrada'!$A$2),O13*(1+'Dados de entrada'!$B$6)^(C14/30)-L14,"")))</f>
        <v>111141.02882613984</v>
      </c>
      <c r="P14" s="71">
        <f ca="1">IF(A14="","",(O13*((1+'Dados de entrada'!$B$6)^(-DAYS360(B14,B13)/30)-1)-O13*((1+'Dados de entrada'!$H$10)^(-DAYS360(B14,B13)/360)-1))*4.65%)</f>
        <v>101.32290519158273</v>
      </c>
      <c r="Q14" s="75">
        <f ca="1">IF(E14&lt;&gt;"",'Dados de entrada'!$H$5-E14*'Dados de entrada'!$H$6,"")</f>
        <v>0</v>
      </c>
      <c r="R14" s="71">
        <f ca="1">IF(A14="","",IF(A14='Dados de entrada'!$E$2,PV('Dados de entrada'!$B$6,'Dados de entrada'!$B$10-'Dados de entrada'!$E$2+1,+L14*(-'Dados de entrada'!$E$3),,1)+L14*(1-'Dados de entrada'!$E$3)-M14-N14-P14-Q14,L14-M14-N14-P14-Q14))</f>
        <v>2838.0770948084173</v>
      </c>
      <c r="S14" s="74">
        <f t="shared" ca="1" si="0"/>
        <v>333</v>
      </c>
      <c r="T14" s="67">
        <f ca="1">IF(E14&lt;&gt;"",(-E14)/((1+'Dados de entrada'!$B$6)^(S14/30)),"")</f>
        <v>466.74103181820391</v>
      </c>
      <c r="U14" s="67">
        <f t="shared" ca="1" si="1"/>
        <v>155424.7635954619</v>
      </c>
      <c r="V14" s="71">
        <f ca="1">IF(F14="","",-'Dados de entrada'!$B$2)</f>
        <v>-3000</v>
      </c>
      <c r="X14" s="93">
        <f>+Resumo!$E$12-Resumo!$E$20</f>
        <v>0</v>
      </c>
      <c r="Y14" s="116">
        <f t="shared" si="10"/>
        <v>46545</v>
      </c>
      <c r="Z14" s="81">
        <v>30</v>
      </c>
      <c r="AA14" s="81">
        <f t="shared" ca="1" si="11"/>
        <v>328</v>
      </c>
      <c r="AB14" s="93">
        <f>IF(A14&lt;='Dados de entrada'!$B$18,'Dados de entrada'!$B$20,0)</f>
        <v>3000</v>
      </c>
      <c r="AC14" s="93">
        <f>IF(OR(Resumo!$E$23&gt;0,Resumo!$E$28&gt;0,Resumo!$E$33&gt;0),IF(AND(A14&gt;'Dados de entrada'!$B$18,A14&lt;='Dados de entrada'!$B$10),'Dados de entrada'!$B$21,0),IF(AND(A14&gt;'Dados de entrada'!$B$18,A14&lt;='Dados de entrada'!$B$10),'Dados de entrada'!$B$21,IF(A14&lt;='Dados de entrada'!$B$18,X14,0)))</f>
        <v>0</v>
      </c>
      <c r="AD14" s="93">
        <f ca="1">AC14/((1+'Dados de entrada'!$D$22)^($AA14/360))</f>
        <v>0</v>
      </c>
      <c r="AE14" s="93">
        <f>IF(A14&lt;='Dados de entrada'!$B$27,'Dados de entrada'!$B$29,0)</f>
        <v>0</v>
      </c>
      <c r="AF14" s="93">
        <f>IF(AND(A14&gt;'Dados de entrada'!$B$27,A14&lt;='Dados de entrada'!$B$10),'Dados de entrada'!$B$30,0)</f>
        <v>0</v>
      </c>
      <c r="AG14" s="93">
        <f ca="1">AF14/((1+'Dados de entrada'!$D$31)^($AA14/360))</f>
        <v>0</v>
      </c>
      <c r="AH14" s="93">
        <f>IF(A14&lt;='Dados de entrada'!$B$36,'Dados de entrada'!$B$38,0)</f>
        <v>0</v>
      </c>
      <c r="AI14" s="93">
        <f>IF(AND(A14&gt;'Dados de entrada'!$B$36,A14&lt;='Dados de entrada'!$B$10),'Dados de entrada'!$B$39,0)</f>
        <v>0</v>
      </c>
      <c r="AJ14" s="93">
        <f ca="1">AI14/((1+'Dados de entrada'!$D$40)^($AA14/360))</f>
        <v>0</v>
      </c>
      <c r="AK14" s="93">
        <f>IF(A14&lt;='Dados de entrada'!$B$45,'Dados de entrada'!$B$47,0)</f>
        <v>0</v>
      </c>
      <c r="AL14" s="93">
        <f>IF(AND(A14&gt;'Dados de entrada'!$B$45,A14&lt;='Dados de entrada'!$B$10),'Dados de entrada'!$B$48,0)</f>
        <v>0</v>
      </c>
      <c r="AM14" s="93">
        <f ca="1">AL14/((1+'Dados de entrada'!$D$49)^($AA14/360))</f>
        <v>0</v>
      </c>
      <c r="AN14" s="85">
        <f t="shared" si="9"/>
        <v>3000</v>
      </c>
    </row>
    <row r="15" spans="1:50">
      <c r="A15" s="69">
        <f>IF(A14="","",IF(A14+1&lt;='Dados de entrada'!$B$10,A14+1,""))</f>
        <v>12</v>
      </c>
      <c r="B15" s="70">
        <f t="shared" si="2"/>
        <v>46575</v>
      </c>
      <c r="C15" s="69">
        <f t="shared" si="3"/>
        <v>30</v>
      </c>
      <c r="D15" s="71">
        <f ca="1">IF(A15="","",F14*(1+'Dados de entrada'!$B$6)^(C15/30))</f>
        <v>23368.119587445635</v>
      </c>
      <c r="E15" s="71">
        <f ca="1">IF(A15="","",-'Dados de entrada'!$J$20)</f>
        <v>-615.26347669246445</v>
      </c>
      <c r="F15" s="71">
        <f t="shared" ca="1" si="4"/>
        <v>22752.856110753171</v>
      </c>
      <c r="G15" s="71">
        <f t="shared" ca="1" si="5"/>
        <v>40.815822162905533</v>
      </c>
      <c r="H15" s="69">
        <f t="shared" ca="1" si="6"/>
        <v>363</v>
      </c>
      <c r="I15" s="71">
        <f ca="1">IF(A15="","",MIN(H15,365)*G15*'Dados de entrada'!$B$11+G15*'Dados de entrada'!$B$12)</f>
        <v>1.3700238867200871</v>
      </c>
      <c r="J15" s="71">
        <f t="shared" ca="1" si="7"/>
        <v>-3000</v>
      </c>
      <c r="K15" s="71">
        <f t="shared" ca="1" si="8"/>
        <v>-3000</v>
      </c>
      <c r="L15" s="72">
        <f ca="1">IF(A15="","",IF(A15&lt;='Dados de entrada'!$J$2,-V14,-V14*(1-'Dados de entrada'!$J$3)))</f>
        <v>3000</v>
      </c>
      <c r="M15" s="72">
        <f ca="1">IF(A15="","",L15*'Dados de entrada'!$E$4)</f>
        <v>60.599999999999994</v>
      </c>
      <c r="N15" s="72">
        <f ca="1">IF(A15="","",IF(A15&lt;='Dados de entrada'!$E$2,'Dados de entrada'!$E$13*'Dados de entrada'!$E$10/'Dados de entrada'!$B$10,'Dados de entrada'!$E$13*'Dados de entrada'!$E$10/'Dados de entrada'!$B$10*(1-'Dados de entrada'!$E$3)))</f>
        <v>0</v>
      </c>
      <c r="O15" s="71">
        <f ca="1">IF(A15="","",IF(AND(A15='Dados de entrada'!$E$2),(O14*(1+'Dados de entrada'!$B$6)-L15)*(1-'Dados de entrada'!$E$3),IF(AND(A15&lt;&gt;'Dados de entrada'!$A$2),O14*(1+'Dados de entrada'!$B$6)^(C15/30)-L15,"")))</f>
        <v>110942.01251666057</v>
      </c>
      <c r="P15" s="71">
        <f ca="1">IF(A15="","",(O14*((1+'Dados de entrada'!$B$6)^(-DAYS360(B15,B14)/30)-1)-O14*((1+'Dados de entrada'!$H$10)^(-DAYS360(B15,B14)/360)-1))*4.65%)</f>
        <v>101.14623856377739</v>
      </c>
      <c r="Q15" s="75">
        <f ca="1">IF(E15&lt;&gt;"",'Dados de entrada'!$H$5-E15*'Dados de entrada'!$H$6,"")</f>
        <v>0</v>
      </c>
      <c r="R15" s="71">
        <f ca="1">IF(A15="","",IF(A15='Dados de entrada'!$E$2,PV('Dados de entrada'!$B$6,'Dados de entrada'!$B$10-'Dados de entrada'!$E$2+1,+L15*(-'Dados de entrada'!$E$3),,1)+L15*(1-'Dados de entrada'!$E$3)-M15-N15-P15-Q15,L15-M15-N15-P15-Q15))</f>
        <v>2838.2537614362227</v>
      </c>
      <c r="S15" s="74">
        <f t="shared" ca="1" si="0"/>
        <v>363</v>
      </c>
      <c r="T15" s="67">
        <f ca="1">IF(E15&lt;&gt;"",(-E15)/((1+'Dados de entrada'!$B$6)^(S15/30)),"")</f>
        <v>455.26735333083781</v>
      </c>
      <c r="U15" s="67">
        <f t="shared" ca="1" si="1"/>
        <v>165262.04925909411</v>
      </c>
      <c r="V15" s="71">
        <f ca="1">IF(F15="","",-'Dados de entrada'!$B$2)</f>
        <v>-3000</v>
      </c>
      <c r="X15" s="93">
        <f>+Resumo!$E$12-Resumo!$E$20</f>
        <v>0</v>
      </c>
      <c r="Y15" s="116">
        <f t="shared" si="10"/>
        <v>46575</v>
      </c>
      <c r="Z15" s="81">
        <v>30</v>
      </c>
      <c r="AA15" s="81">
        <f t="shared" ca="1" si="11"/>
        <v>358</v>
      </c>
      <c r="AB15" s="93">
        <f>IF(A15&lt;='Dados de entrada'!$B$18,'Dados de entrada'!$B$20,0)</f>
        <v>3000</v>
      </c>
      <c r="AC15" s="93">
        <f>IF(OR(Resumo!$E$23&gt;0,Resumo!$E$28&gt;0,Resumo!$E$33&gt;0),IF(AND(A15&gt;'Dados de entrada'!$B$18,A15&lt;='Dados de entrada'!$B$10),'Dados de entrada'!$B$21,0),IF(AND(A15&gt;'Dados de entrada'!$B$18,A15&lt;='Dados de entrada'!$B$10),'Dados de entrada'!$B$21,IF(A15&lt;='Dados de entrada'!$B$18,X15,0)))</f>
        <v>0</v>
      </c>
      <c r="AD15" s="93">
        <f ca="1">AC15/((1+'Dados de entrada'!$D$22)^($AA15/360))</f>
        <v>0</v>
      </c>
      <c r="AE15" s="93">
        <f>IF(A15&lt;='Dados de entrada'!$B$27,'Dados de entrada'!$B$29,0)</f>
        <v>0</v>
      </c>
      <c r="AF15" s="93">
        <f>IF(AND(A15&gt;'Dados de entrada'!$B$27,A15&lt;='Dados de entrada'!$B$10),'Dados de entrada'!$B$30,0)</f>
        <v>0</v>
      </c>
      <c r="AG15" s="93">
        <f ca="1">AF15/((1+'Dados de entrada'!$D$31)^($AA15/360))</f>
        <v>0</v>
      </c>
      <c r="AH15" s="93">
        <f>IF(A15&lt;='Dados de entrada'!$B$36,'Dados de entrada'!$B$38,0)</f>
        <v>0</v>
      </c>
      <c r="AI15" s="93">
        <f>IF(AND(A15&gt;'Dados de entrada'!$B$36,A15&lt;='Dados de entrada'!$B$10),'Dados de entrada'!$B$39,0)</f>
        <v>0</v>
      </c>
      <c r="AJ15" s="93">
        <f ca="1">AI15/((1+'Dados de entrada'!$D$40)^($AA15/360))</f>
        <v>0</v>
      </c>
      <c r="AK15" s="93">
        <f>IF(A15&lt;='Dados de entrada'!$B$45,'Dados de entrada'!$B$47,0)</f>
        <v>0</v>
      </c>
      <c r="AL15" s="93">
        <f>IF(AND(A15&gt;'Dados de entrada'!$B$45,A15&lt;='Dados de entrada'!$B$10),'Dados de entrada'!$B$48,0)</f>
        <v>0</v>
      </c>
      <c r="AM15" s="93">
        <f ca="1">AL15/((1+'Dados de entrada'!$D$49)^($AA15/360))</f>
        <v>0</v>
      </c>
      <c r="AN15" s="85">
        <f t="shared" si="9"/>
        <v>3000</v>
      </c>
    </row>
    <row r="16" spans="1:50">
      <c r="A16" s="69">
        <f>IF(A15="","",IF(A15+1&lt;='Dados de entrada'!$B$10,A15+1,""))</f>
        <v>13</v>
      </c>
      <c r="B16" s="70">
        <f t="shared" si="2"/>
        <v>46606</v>
      </c>
      <c r="C16" s="69">
        <f t="shared" si="3"/>
        <v>30</v>
      </c>
      <c r="D16" s="71">
        <f ca="1">IF(A16="","",F15*(1+'Dados de entrada'!$B$6)^(C16/30))</f>
        <v>23326.275122184848</v>
      </c>
      <c r="E16" s="71">
        <f ca="1">IF(A16="","",-'Dados de entrada'!$J$20)</f>
        <v>-615.26347669246445</v>
      </c>
      <c r="F16" s="71">
        <f t="shared" ca="1" si="4"/>
        <v>22711.011645492385</v>
      </c>
      <c r="G16" s="71">
        <f t="shared" ca="1" si="5"/>
        <v>41.844465260786819</v>
      </c>
      <c r="H16" s="69">
        <f t="shared" ca="1" si="6"/>
        <v>394</v>
      </c>
      <c r="I16" s="71">
        <f ca="1">IF(A16="","",MIN(H16,365)*G16*'Dados de entrada'!$B$11+G16*'Dados de entrada'!$B$12)</f>
        <v>1.4114138132463394</v>
      </c>
      <c r="J16" s="71">
        <f t="shared" ca="1" si="7"/>
        <v>-3000</v>
      </c>
      <c r="K16" s="71">
        <f t="shared" ca="1" si="8"/>
        <v>-3000</v>
      </c>
      <c r="L16" s="72">
        <f ca="1">IF(A16="","",IF(A16&lt;='Dados de entrada'!$J$2,-V15,-V15*(1-'Dados de entrada'!$J$3)))</f>
        <v>3000</v>
      </c>
      <c r="M16" s="72">
        <f ca="1">IF(A16="","",L16*'Dados de entrada'!$E$4)</f>
        <v>60.599999999999994</v>
      </c>
      <c r="N16" s="72">
        <f ca="1">IF(A16="","",IF(A16&lt;='Dados de entrada'!$E$2,'Dados de entrada'!$E$13*'Dados de entrada'!$E$10/'Dados de entrada'!$B$10,'Dados de entrada'!$E$13*'Dados de entrada'!$E$10/'Dados de entrada'!$B$10*(1-'Dados de entrada'!$E$3)))</f>
        <v>0</v>
      </c>
      <c r="O16" s="71">
        <f ca="1">IF(A16="","",IF(AND(A16='Dados de entrada'!$E$2),(O15*(1+'Dados de entrada'!$B$6)-L16)*(1-'Dados de entrada'!$E$3),IF(AND(A16&lt;&gt;'Dados de entrada'!$A$2),O15*(1+'Dados de entrada'!$B$6)^(C16/30)-L16,"")))</f>
        <v>110737.98058475197</v>
      </c>
      <c r="P16" s="71">
        <f ca="1">IF(A16="","",(O15*((1+'Dados de entrada'!$B$6)^(-DAYS360(B16,B15)/30)-1)-O15*((1+'Dados de entrada'!$H$10)^(-DAYS360(B16,B15)/360)-1))*4.65%)</f>
        <v>100.96511957172486</v>
      </c>
      <c r="Q16" s="75">
        <f ca="1">IF(E16&lt;&gt;"",'Dados de entrada'!$H$5-E16*'Dados de entrada'!$H$6,"")</f>
        <v>0</v>
      </c>
      <c r="R16" s="71">
        <f ca="1">IF(A16="","",IF(A16='Dados de entrada'!$E$2,PV('Dados de entrada'!$B$6,'Dados de entrada'!$B$10-'Dados de entrada'!$E$2+1,+L16*(-'Dados de entrada'!$E$3),,1)+L16*(1-'Dados de entrada'!$E$3)-M16-N16-P16-Q16,L16-M16-N16-P16-Q16))</f>
        <v>2838.4348804282754</v>
      </c>
      <c r="S16" s="74">
        <f t="shared" ca="1" si="0"/>
        <v>394</v>
      </c>
      <c r="T16" s="67">
        <f ca="1">IF(E16&lt;&gt;"",(-E16)/((1+'Dados de entrada'!$B$6)^(S16/30)),"")</f>
        <v>443.70744889686432</v>
      </c>
      <c r="U16" s="67">
        <f t="shared" ca="1" si="1"/>
        <v>174820.73486536453</v>
      </c>
      <c r="V16" s="71">
        <f ca="1">IF(F16="","",-'Dados de entrada'!$B$2)</f>
        <v>-3000</v>
      </c>
      <c r="X16" s="93">
        <f>+Resumo!$E$12-Resumo!$E$20</f>
        <v>0</v>
      </c>
      <c r="Y16" s="116">
        <f t="shared" si="10"/>
        <v>46606</v>
      </c>
      <c r="Z16" s="81">
        <v>30</v>
      </c>
      <c r="AA16" s="81">
        <f t="shared" ca="1" si="11"/>
        <v>388</v>
      </c>
      <c r="AB16" s="93">
        <f>IF(A16&lt;='Dados de entrada'!$B$18,'Dados de entrada'!$B$20,0)</f>
        <v>3000</v>
      </c>
      <c r="AC16" s="93">
        <f>IF(OR(Resumo!$E$23&gt;0,Resumo!$E$28&gt;0,Resumo!$E$33&gt;0),IF(AND(A16&gt;'Dados de entrada'!$B$18,A16&lt;='Dados de entrada'!$B$10),'Dados de entrada'!$B$21,0),IF(AND(A16&gt;'Dados de entrada'!$B$18,A16&lt;='Dados de entrada'!$B$10),'Dados de entrada'!$B$21,IF(A16&lt;='Dados de entrada'!$B$18,X16,0)))</f>
        <v>0</v>
      </c>
      <c r="AD16" s="93">
        <f ca="1">AC16/((1+'Dados de entrada'!$D$22)^($AA16/360))</f>
        <v>0</v>
      </c>
      <c r="AE16" s="93">
        <f>IF(A16&lt;='Dados de entrada'!$B$27,'Dados de entrada'!$B$29,0)</f>
        <v>0</v>
      </c>
      <c r="AF16" s="93">
        <f>IF(AND(A16&gt;'Dados de entrada'!$B$27,A16&lt;='Dados de entrada'!$B$10),'Dados de entrada'!$B$30,0)</f>
        <v>0</v>
      </c>
      <c r="AG16" s="93">
        <f ca="1">AF16/((1+'Dados de entrada'!$D$31)^($AA16/360))</f>
        <v>0</v>
      </c>
      <c r="AH16" s="93">
        <f>IF(A16&lt;='Dados de entrada'!$B$36,'Dados de entrada'!$B$38,0)</f>
        <v>0</v>
      </c>
      <c r="AI16" s="93">
        <f>IF(AND(A16&gt;'Dados de entrada'!$B$36,A16&lt;='Dados de entrada'!$B$10),'Dados de entrada'!$B$39,0)</f>
        <v>0</v>
      </c>
      <c r="AJ16" s="93">
        <f ca="1">AI16/((1+'Dados de entrada'!$D$40)^($AA16/360))</f>
        <v>0</v>
      </c>
      <c r="AK16" s="93">
        <f>IF(A16&lt;='Dados de entrada'!$B$45,'Dados de entrada'!$B$47,0)</f>
        <v>0</v>
      </c>
      <c r="AL16" s="93">
        <f>IF(AND(A16&gt;'Dados de entrada'!$B$45,A16&lt;='Dados de entrada'!$B$10),'Dados de entrada'!$B$48,0)</f>
        <v>0</v>
      </c>
      <c r="AM16" s="93">
        <f ca="1">AL16/((1+'Dados de entrada'!$D$49)^($AA16/360))</f>
        <v>0</v>
      </c>
      <c r="AN16" s="85">
        <f t="shared" si="9"/>
        <v>3000</v>
      </c>
    </row>
    <row r="17" spans="1:40">
      <c r="A17" s="69">
        <f>IF(A16="","",IF(A16+1&lt;='Dados de entrada'!$B$10,A16+1,""))</f>
        <v>14</v>
      </c>
      <c r="B17" s="70">
        <f t="shared" si="2"/>
        <v>46637</v>
      </c>
      <c r="C17" s="69">
        <f t="shared" si="3"/>
        <v>30</v>
      </c>
      <c r="D17" s="71">
        <f ca="1">IF(A17="","",F16*(1+'Dados de entrada'!$B$6)^(C17/30))</f>
        <v>23283.37608989358</v>
      </c>
      <c r="E17" s="71">
        <f ca="1">IF(A17="","",-'Dados de entrada'!$J$20)</f>
        <v>-615.26347669246445</v>
      </c>
      <c r="F17" s="71">
        <f t="shared" ca="1" si="4"/>
        <v>22668.112613201116</v>
      </c>
      <c r="G17" s="71">
        <f t="shared" ca="1" si="5"/>
        <v>42.899032291268668</v>
      </c>
      <c r="H17" s="69">
        <f t="shared" ca="1" si="6"/>
        <v>425</v>
      </c>
      <c r="I17" s="71">
        <f ca="1">IF(A17="","",MIN(H17,365)*G17*'Dados de entrada'!$B$11+G17*'Dados de entrada'!$B$12)</f>
        <v>1.4469843591844922</v>
      </c>
      <c r="J17" s="71">
        <f t="shared" ca="1" si="7"/>
        <v>-3000</v>
      </c>
      <c r="K17" s="71">
        <f t="shared" ca="1" si="8"/>
        <v>-3000</v>
      </c>
      <c r="L17" s="72">
        <f ca="1">IF(A17="","",IF(A17&lt;='Dados de entrada'!$J$2,-V16,-V16*(1-'Dados de entrada'!$J$3)))</f>
        <v>3000</v>
      </c>
      <c r="M17" s="72">
        <f ca="1">IF(A17="","",L17*'Dados de entrada'!$E$4)</f>
        <v>60.599999999999994</v>
      </c>
      <c r="N17" s="72">
        <f ca="1">IF(A17="","",IF(A17&lt;='Dados de entrada'!$E$2,'Dados de entrada'!$E$13*'Dados de entrada'!$E$10/'Dados de entrada'!$B$10,'Dados de entrada'!$E$13*'Dados de entrada'!$E$10/'Dados de entrada'!$B$10*(1-'Dados de entrada'!$E$3)))</f>
        <v>0</v>
      </c>
      <c r="O17" s="71">
        <f ca="1">IF(A17="","",IF(AND(A17='Dados de entrada'!$E$2),(O16*(1+'Dados de entrada'!$B$6)-L17)*(1-'Dados de entrada'!$E$3),IF(AND(A17&lt;&gt;'Dados de entrada'!$A$2),O16*(1+'Dados de entrada'!$B$6)^(C17/30)-L17,"")))</f>
        <v>110528.80662635993</v>
      </c>
      <c r="P17" s="71">
        <f ca="1">IF(A17="","",(O16*((1+'Dados de entrada'!$B$6)^(-DAYS360(B17,B16)/30)-1)-O16*((1+'Dados de entrada'!$H$10)^(-DAYS360(B17,B16)/360)-1))*4.65%)</f>
        <v>100.7794360066416</v>
      </c>
      <c r="Q17" s="75">
        <f ca="1">IF(E17&lt;&gt;"",'Dados de entrada'!$H$5-E17*'Dados de entrada'!$H$6,"")</f>
        <v>0</v>
      </c>
      <c r="R17" s="71">
        <f ca="1">IF(A17="","",IF(A17='Dados de entrada'!$E$2,PV('Dados de entrada'!$B$6,'Dados de entrada'!$B$10-'Dados de entrada'!$E$2+1,+L17*(-'Dados de entrada'!$E$3),,1)+L17*(1-'Dados de entrada'!$E$3)-M17-N17-P17-Q17,L17-M17-N17-P17-Q17))</f>
        <v>2838.6205639933587</v>
      </c>
      <c r="S17" s="74">
        <f t="shared" ca="1" si="0"/>
        <v>425</v>
      </c>
      <c r="T17" s="67">
        <f ca="1">IF(E17&lt;&gt;"",(-E17)/((1+'Dados de entrada'!$B$6)^(S17/30)),"")</f>
        <v>432.44106735563719</v>
      </c>
      <c r="U17" s="67">
        <f t="shared" ca="1" si="1"/>
        <v>183787.45362614581</v>
      </c>
      <c r="V17" s="71">
        <f ca="1">IF(F17="","",-'Dados de entrada'!$B$2)</f>
        <v>-3000</v>
      </c>
      <c r="X17" s="93">
        <f>+Resumo!$E$12-Resumo!$E$20</f>
        <v>0</v>
      </c>
      <c r="Y17" s="116">
        <f t="shared" si="10"/>
        <v>46637</v>
      </c>
      <c r="Z17" s="81">
        <v>30</v>
      </c>
      <c r="AA17" s="81">
        <f t="shared" ca="1" si="11"/>
        <v>418</v>
      </c>
      <c r="AB17" s="93">
        <f>IF(A17&lt;='Dados de entrada'!$B$18,'Dados de entrada'!$B$20,0)</f>
        <v>3000</v>
      </c>
      <c r="AC17" s="93">
        <f>IF(OR(Resumo!$E$23&gt;0,Resumo!$E$28&gt;0,Resumo!$E$33&gt;0),IF(AND(A17&gt;'Dados de entrada'!$B$18,A17&lt;='Dados de entrada'!$B$10),'Dados de entrada'!$B$21,0),IF(AND(A17&gt;'Dados de entrada'!$B$18,A17&lt;='Dados de entrada'!$B$10),'Dados de entrada'!$B$21,IF(A17&lt;='Dados de entrada'!$B$18,X17,0)))</f>
        <v>0</v>
      </c>
      <c r="AD17" s="93">
        <f ca="1">AC17/((1+'Dados de entrada'!$D$22)^($AA17/360))</f>
        <v>0</v>
      </c>
      <c r="AE17" s="93">
        <f>IF(A17&lt;='Dados de entrada'!$B$27,'Dados de entrada'!$B$29,0)</f>
        <v>0</v>
      </c>
      <c r="AF17" s="93">
        <f>IF(AND(A17&gt;'Dados de entrada'!$B$27,A17&lt;='Dados de entrada'!$B$10),'Dados de entrada'!$B$30,0)</f>
        <v>0</v>
      </c>
      <c r="AG17" s="93">
        <f ca="1">AF17/((1+'Dados de entrada'!$D$31)^($AA17/360))</f>
        <v>0</v>
      </c>
      <c r="AH17" s="93">
        <f>IF(A17&lt;='Dados de entrada'!$B$36,'Dados de entrada'!$B$38,0)</f>
        <v>0</v>
      </c>
      <c r="AI17" s="93">
        <f>IF(AND(A17&gt;'Dados de entrada'!$B$36,A17&lt;='Dados de entrada'!$B$10),'Dados de entrada'!$B$39,0)</f>
        <v>0</v>
      </c>
      <c r="AJ17" s="93">
        <f ca="1">AI17/((1+'Dados de entrada'!$D$40)^($AA17/360))</f>
        <v>0</v>
      </c>
      <c r="AK17" s="93">
        <f>IF(A17&lt;='Dados de entrada'!$B$45,'Dados de entrada'!$B$47,0)</f>
        <v>0</v>
      </c>
      <c r="AL17" s="93">
        <f>IF(AND(A17&gt;'Dados de entrada'!$B$45,A17&lt;='Dados de entrada'!$B$10),'Dados de entrada'!$B$48,0)</f>
        <v>0</v>
      </c>
      <c r="AM17" s="93">
        <f ca="1">AL17/((1+'Dados de entrada'!$D$49)^($AA17/360))</f>
        <v>0</v>
      </c>
      <c r="AN17" s="85">
        <f t="shared" si="9"/>
        <v>3000</v>
      </c>
    </row>
    <row r="18" spans="1:40">
      <c r="A18" s="69">
        <f>IF(A17="","",IF(A17+1&lt;='Dados de entrada'!$B$10,A17+1,""))</f>
        <v>15</v>
      </c>
      <c r="B18" s="70">
        <f t="shared" si="2"/>
        <v>46667</v>
      </c>
      <c r="C18" s="69">
        <f t="shared" si="3"/>
        <v>30</v>
      </c>
      <c r="D18" s="71">
        <f ca="1">IF(A18="","",F17*(1+'Dados de entrada'!$B$6)^(C18/30))</f>
        <v>23239.395913302531</v>
      </c>
      <c r="E18" s="71">
        <f ca="1">IF(A18="","",-'Dados de entrada'!$J$20)</f>
        <v>-615.26347669246445</v>
      </c>
      <c r="F18" s="71">
        <f t="shared" ca="1" si="4"/>
        <v>22624.132436610067</v>
      </c>
      <c r="G18" s="71">
        <f t="shared" ca="1" si="5"/>
        <v>43.980176591048803</v>
      </c>
      <c r="H18" s="69">
        <f t="shared" ca="1" si="6"/>
        <v>455</v>
      </c>
      <c r="I18" s="71">
        <f ca="1">IF(A18="","",MIN(H18,365)*G18*'Dados de entrada'!$B$11+G18*'Dados de entrada'!$B$12)</f>
        <v>1.4834513564160763</v>
      </c>
      <c r="J18" s="71">
        <f t="shared" ca="1" si="7"/>
        <v>-3000</v>
      </c>
      <c r="K18" s="71">
        <f t="shared" ca="1" si="8"/>
        <v>-3000</v>
      </c>
      <c r="L18" s="72">
        <f ca="1">IF(A18="","",IF(A18&lt;='Dados de entrada'!$J$2,-V17,-V17*(1-'Dados de entrada'!$J$3)))</f>
        <v>3000</v>
      </c>
      <c r="M18" s="72">
        <f ca="1">IF(A18="","",L18*'Dados de entrada'!$E$4)</f>
        <v>60.599999999999994</v>
      </c>
      <c r="N18" s="72">
        <f ca="1">IF(A18="","",IF(A18&lt;='Dados de entrada'!$E$2,'Dados de entrada'!$E$13*'Dados de entrada'!$E$10/'Dados de entrada'!$B$10,'Dados de entrada'!$E$13*'Dados de entrada'!$E$10/'Dados de entrada'!$B$10*(1-'Dados de entrada'!$E$3)))</f>
        <v>0</v>
      </c>
      <c r="O18" s="71">
        <f ca="1">IF(A18="","",IF(AND(A18='Dados de entrada'!$E$2),(O17*(1+'Dados de entrada'!$B$6)-L18)*(1-'Dados de entrada'!$E$3),IF(AND(A18&lt;&gt;'Dados de entrada'!$A$2),O17*(1+'Dados de entrada'!$B$6)^(C18/30)-L18,"")))</f>
        <v>110314.36105178685</v>
      </c>
      <c r="P18" s="71">
        <f ca="1">IF(A18="","",(O17*((1+'Dados de entrada'!$B$6)^(-DAYS360(B18,B17)/30)-1)-O17*((1+'Dados de entrada'!$H$10)^(-DAYS360(B18,B17)/360)-1))*4.65%)</f>
        <v>100.58907283185091</v>
      </c>
      <c r="Q18" s="75">
        <f ca="1">IF(E18&lt;&gt;"",'Dados de entrada'!$H$5-E18*'Dados de entrada'!$H$6,"")</f>
        <v>0</v>
      </c>
      <c r="R18" s="71">
        <f ca="1">IF(A18="","",IF(A18='Dados de entrada'!$E$2,PV('Dados de entrada'!$B$6,'Dados de entrada'!$B$10-'Dados de entrada'!$E$2+1,+L18*(-'Dados de entrada'!$E$3),,1)+L18*(1-'Dados de entrada'!$E$3)-M18-N18-P18-Q18,L18-M18-N18-P18-Q18))</f>
        <v>2838.8109271681492</v>
      </c>
      <c r="S18" s="74">
        <f t="shared" ca="1" si="0"/>
        <v>455</v>
      </c>
      <c r="T18" s="67">
        <f ca="1">IF(E18&lt;&gt;"",(-E18)/((1+'Dados de entrada'!$B$6)^(S18/30)),"")</f>
        <v>421.810568999314</v>
      </c>
      <c r="U18" s="67">
        <f t="shared" ca="1" si="1"/>
        <v>191923.80889468786</v>
      </c>
      <c r="V18" s="71">
        <f ca="1">IF(F18="","",-'Dados de entrada'!$B$2)</f>
        <v>-3000</v>
      </c>
      <c r="X18" s="93">
        <f>+Resumo!$E$12-Resumo!$E$20</f>
        <v>0</v>
      </c>
      <c r="Y18" s="116">
        <f t="shared" si="10"/>
        <v>46667</v>
      </c>
      <c r="Z18" s="81">
        <v>30</v>
      </c>
      <c r="AA18" s="81">
        <f t="shared" ca="1" si="11"/>
        <v>448</v>
      </c>
      <c r="AB18" s="93">
        <f>IF(A18&lt;='Dados de entrada'!$B$18,'Dados de entrada'!$B$20,0)</f>
        <v>3000</v>
      </c>
      <c r="AC18" s="93">
        <f>IF(OR(Resumo!$E$23&gt;0,Resumo!$E$28&gt;0,Resumo!$E$33&gt;0),IF(AND(A18&gt;'Dados de entrada'!$B$18,A18&lt;='Dados de entrada'!$B$10),'Dados de entrada'!$B$21,0),IF(AND(A18&gt;'Dados de entrada'!$B$18,A18&lt;='Dados de entrada'!$B$10),'Dados de entrada'!$B$21,IF(A18&lt;='Dados de entrada'!$B$18,X18,0)))</f>
        <v>0</v>
      </c>
      <c r="AD18" s="93">
        <f ca="1">AC18/((1+'Dados de entrada'!$D$22)^($AA18/360))</f>
        <v>0</v>
      </c>
      <c r="AE18" s="93">
        <f>IF(A18&lt;='Dados de entrada'!$B$27,'Dados de entrada'!$B$29,0)</f>
        <v>0</v>
      </c>
      <c r="AF18" s="93">
        <f>IF(AND(A18&gt;'Dados de entrada'!$B$27,A18&lt;='Dados de entrada'!$B$10),'Dados de entrada'!$B$30,0)</f>
        <v>0</v>
      </c>
      <c r="AG18" s="93">
        <f ca="1">AF18/((1+'Dados de entrada'!$D$31)^($AA18/360))</f>
        <v>0</v>
      </c>
      <c r="AH18" s="93">
        <f>IF(A18&lt;='Dados de entrada'!$B$36,'Dados de entrada'!$B$38,0)</f>
        <v>0</v>
      </c>
      <c r="AI18" s="93">
        <f>IF(AND(A18&gt;'Dados de entrada'!$B$36,A18&lt;='Dados de entrada'!$B$10),'Dados de entrada'!$B$39,0)</f>
        <v>0</v>
      </c>
      <c r="AJ18" s="93">
        <f ca="1">AI18/((1+'Dados de entrada'!$D$40)^($AA18/360))</f>
        <v>0</v>
      </c>
      <c r="AK18" s="93">
        <f>IF(A18&lt;='Dados de entrada'!$B$45,'Dados de entrada'!$B$47,0)</f>
        <v>0</v>
      </c>
      <c r="AL18" s="93">
        <f>IF(AND(A18&gt;'Dados de entrada'!$B$45,A18&lt;='Dados de entrada'!$B$10),'Dados de entrada'!$B$48,0)</f>
        <v>0</v>
      </c>
      <c r="AM18" s="93">
        <f ca="1">AL18/((1+'Dados de entrada'!$D$49)^($AA18/360))</f>
        <v>0</v>
      </c>
      <c r="AN18" s="85">
        <f t="shared" si="9"/>
        <v>3000</v>
      </c>
    </row>
    <row r="19" spans="1:40">
      <c r="A19" s="69">
        <f>IF(A18="","",IF(A18+1&lt;='Dados de entrada'!$B$10,A18+1,""))</f>
        <v>16</v>
      </c>
      <c r="B19" s="70">
        <f t="shared" si="2"/>
        <v>46698</v>
      </c>
      <c r="C19" s="69">
        <f t="shared" si="3"/>
        <v>30</v>
      </c>
      <c r="D19" s="71">
        <f ca="1">IF(A19="","",F18*(1+'Dados de entrada'!$B$6)^(C19/30))</f>
        <v>23194.307345340279</v>
      </c>
      <c r="E19" s="71">
        <f ca="1">IF(A19="","",-'Dados de entrada'!$J$20)</f>
        <v>-615.26347669246445</v>
      </c>
      <c r="F19" s="71">
        <f t="shared" ca="1" si="4"/>
        <v>22579.043868647816</v>
      </c>
      <c r="G19" s="71">
        <f t="shared" ca="1" si="5"/>
        <v>45.088567962251545</v>
      </c>
      <c r="H19" s="69">
        <f t="shared" ca="1" si="6"/>
        <v>486</v>
      </c>
      <c r="I19" s="71">
        <f ca="1">IF(A19="","",MIN(H19,365)*G19*'Dados de entrada'!$B$11+G19*'Dados de entrada'!$B$12)</f>
        <v>1.5208373973667446</v>
      </c>
      <c r="J19" s="71">
        <f t="shared" ca="1" si="7"/>
        <v>-3000</v>
      </c>
      <c r="K19" s="71">
        <f t="shared" ca="1" si="8"/>
        <v>-3000</v>
      </c>
      <c r="L19" s="72">
        <f ca="1">IF(A19="","",IF(A19&lt;='Dados de entrada'!$J$2,-V18,-V18*(1-'Dados de entrada'!$J$3)))</f>
        <v>3000</v>
      </c>
      <c r="M19" s="72">
        <f ca="1">IF(A19="","",L19*'Dados de entrada'!$E$4)</f>
        <v>60.599999999999994</v>
      </c>
      <c r="N19" s="72">
        <f ca="1">IF(A19="","",IF(A19&lt;='Dados de entrada'!$E$2,'Dados de entrada'!$E$13*'Dados de entrada'!$E$10/'Dados de entrada'!$B$10,'Dados de entrada'!$E$13*'Dados de entrada'!$E$10/'Dados de entrada'!$B$10*(1-'Dados de entrada'!$E$3)))</f>
        <v>0</v>
      </c>
      <c r="O19" s="71">
        <f ca="1">IF(A19="","",IF(AND(A19='Dados de entrada'!$E$2),(O18*(1+'Dados de entrada'!$B$6)-L19)*(1-'Dados de entrada'!$E$3),IF(AND(A19&lt;&gt;'Dados de entrada'!$A$2),O18*(1+'Dados de entrada'!$B$6)^(C19/30)-L19,"")))</f>
        <v>110094.51100540685</v>
      </c>
      <c r="P19" s="71">
        <f ca="1">IF(A19="","",(O18*((1+'Dados de entrada'!$B$6)^(-DAYS360(B19,B18)/30)-1)-O18*((1+'Dados de entrada'!$H$10)^(-DAYS360(B19,B18)/360)-1))*4.65%)</f>
        <v>100.3939121115138</v>
      </c>
      <c r="Q19" s="75">
        <f ca="1">IF(E19&lt;&gt;"",'Dados de entrada'!$H$5-E19*'Dados de entrada'!$H$6,"")</f>
        <v>0</v>
      </c>
      <c r="R19" s="71">
        <f ca="1">IF(A19="","",IF(A19='Dados de entrada'!$E$2,PV('Dados de entrada'!$B$6,'Dados de entrada'!$B$10-'Dados de entrada'!$E$2+1,+L19*(-'Dados de entrada'!$E$3),,1)+L19*(1-'Dados de entrada'!$E$3)-M19-N19-P19-Q19,L19-M19-N19-P19-Q19))</f>
        <v>2839.0060878884865</v>
      </c>
      <c r="S19" s="74">
        <f t="shared" ca="1" si="0"/>
        <v>486</v>
      </c>
      <c r="T19" s="67">
        <f ca="1">IF(E19&lt;&gt;"",(-E19)/((1+'Dados de entrada'!$B$6)^(S19/30)),"")</f>
        <v>411.10018128713244</v>
      </c>
      <c r="U19" s="67">
        <f t="shared" ca="1" si="1"/>
        <v>199794.68810554637</v>
      </c>
      <c r="V19" s="71">
        <f ca="1">IF(F19="","",-'Dados de entrada'!$B$2)</f>
        <v>-3000</v>
      </c>
      <c r="X19" s="93">
        <f>+Resumo!$E$12-Resumo!$E$20</f>
        <v>0</v>
      </c>
      <c r="Y19" s="116">
        <f t="shared" si="10"/>
        <v>46698</v>
      </c>
      <c r="Z19" s="81">
        <v>30</v>
      </c>
      <c r="AA19" s="81">
        <f t="shared" ca="1" si="11"/>
        <v>478</v>
      </c>
      <c r="AB19" s="93">
        <f>IF(A19&lt;='Dados de entrada'!$B$18,'Dados de entrada'!$B$20,0)</f>
        <v>3000</v>
      </c>
      <c r="AC19" s="93">
        <f>IF(OR(Resumo!$E$23&gt;0,Resumo!$E$28&gt;0,Resumo!$E$33&gt;0),IF(AND(A19&gt;'Dados de entrada'!$B$18,A19&lt;='Dados de entrada'!$B$10),'Dados de entrada'!$B$21,0),IF(AND(A19&gt;'Dados de entrada'!$B$18,A19&lt;='Dados de entrada'!$B$10),'Dados de entrada'!$B$21,IF(A19&lt;='Dados de entrada'!$B$18,X19,0)))</f>
        <v>0</v>
      </c>
      <c r="AD19" s="93">
        <f ca="1">AC19/((1+'Dados de entrada'!$D$22)^($AA19/360))</f>
        <v>0</v>
      </c>
      <c r="AE19" s="93">
        <f>IF(A19&lt;='Dados de entrada'!$B$27,'Dados de entrada'!$B$29,0)</f>
        <v>0</v>
      </c>
      <c r="AF19" s="93">
        <f>IF(AND(A19&gt;'Dados de entrada'!$B$27,A19&lt;='Dados de entrada'!$B$10),'Dados de entrada'!$B$30,0)</f>
        <v>0</v>
      </c>
      <c r="AG19" s="93">
        <f ca="1">AF19/((1+'Dados de entrada'!$D$31)^($AA19/360))</f>
        <v>0</v>
      </c>
      <c r="AH19" s="93">
        <f>IF(A19&lt;='Dados de entrada'!$B$36,'Dados de entrada'!$B$38,0)</f>
        <v>0</v>
      </c>
      <c r="AI19" s="93">
        <f>IF(AND(A19&gt;'Dados de entrada'!$B$36,A19&lt;='Dados de entrada'!$B$10),'Dados de entrada'!$B$39,0)</f>
        <v>0</v>
      </c>
      <c r="AJ19" s="93">
        <f ca="1">AI19/((1+'Dados de entrada'!$D$40)^($AA19/360))</f>
        <v>0</v>
      </c>
      <c r="AK19" s="93">
        <f>IF(A19&lt;='Dados de entrada'!$B$45,'Dados de entrada'!$B$47,0)</f>
        <v>0</v>
      </c>
      <c r="AL19" s="93">
        <f>IF(AND(A19&gt;'Dados de entrada'!$B$45,A19&lt;='Dados de entrada'!$B$10),'Dados de entrada'!$B$48,0)</f>
        <v>0</v>
      </c>
      <c r="AM19" s="93">
        <f ca="1">AL19/((1+'Dados de entrada'!$D$49)^($AA19/360))</f>
        <v>0</v>
      </c>
      <c r="AN19" s="85">
        <f t="shared" si="9"/>
        <v>3000</v>
      </c>
    </row>
    <row r="20" spans="1:40">
      <c r="A20" s="69">
        <f>IF(A19="","",IF(A19+1&lt;='Dados de entrada'!$B$10,A19+1,""))</f>
        <v>17</v>
      </c>
      <c r="B20" s="70">
        <f t="shared" si="2"/>
        <v>46728</v>
      </c>
      <c r="C20" s="69">
        <f t="shared" si="3"/>
        <v>30</v>
      </c>
      <c r="D20" s="71">
        <f ca="1">IF(A20="","",F19*(1+'Dados de entrada'!$B$6)^(C20/30))</f>
        <v>23148.082452252867</v>
      </c>
      <c r="E20" s="71">
        <f ca="1">IF(A20="","",-'Dados de entrada'!$J$20)</f>
        <v>-615.26347669246445</v>
      </c>
      <c r="F20" s="71">
        <f t="shared" ca="1" si="4"/>
        <v>22532.818975560403</v>
      </c>
      <c r="G20" s="71">
        <f t="shared" ca="1" si="5"/>
        <v>46.224893087412056</v>
      </c>
      <c r="H20" s="69">
        <f t="shared" ca="1" si="6"/>
        <v>516</v>
      </c>
      <c r="I20" s="71">
        <f ca="1">IF(A20="","",MIN(H20,365)*G20*'Dados de entrada'!$B$11+G20*'Dados de entrada'!$B$12)</f>
        <v>1.5591656438384087</v>
      </c>
      <c r="J20" s="71">
        <f t="shared" ca="1" si="7"/>
        <v>-3000</v>
      </c>
      <c r="K20" s="71">
        <f t="shared" ca="1" si="8"/>
        <v>-3000</v>
      </c>
      <c r="L20" s="72">
        <f ca="1">IF(A20="","",IF(A20&lt;='Dados de entrada'!$J$2,-V19,-V19*(1-'Dados de entrada'!$J$3)))</f>
        <v>3000</v>
      </c>
      <c r="M20" s="72">
        <f ca="1">IF(A20="","",L20*'Dados de entrada'!$E$4)</f>
        <v>60.599999999999994</v>
      </c>
      <c r="N20" s="72">
        <f ca="1">IF(A20="","",IF(A20&lt;='Dados de entrada'!$E$2,'Dados de entrada'!$E$13*'Dados de entrada'!$E$10/'Dados de entrada'!$B$10,'Dados de entrada'!$E$13*'Dados de entrada'!$E$10/'Dados de entrada'!$B$10*(1-'Dados de entrada'!$E$3)))</f>
        <v>0</v>
      </c>
      <c r="O20" s="71">
        <f ca="1">IF(A20="","",IF(AND(A20='Dados de entrada'!$E$2),(O19*(1+'Dados de entrada'!$B$6)-L20)*(1-'Dados de entrada'!$E$3),IF(AND(A20&lt;&gt;'Dados de entrada'!$A$2),O19*(1+'Dados de entrada'!$B$6)^(C20/30)-L20,"")))</f>
        <v>109869.12028335761</v>
      </c>
      <c r="P20" s="71">
        <f ca="1">IF(A20="","",(O19*((1+'Dados de entrada'!$B$6)^(-DAYS360(B20,B19)/30)-1)-O19*((1+'Dados de entrada'!$H$10)^(-DAYS360(B20,B19)/360)-1))*4.65%)</f>
        <v>100.19383293756451</v>
      </c>
      <c r="Q20" s="75">
        <f ca="1">IF(E20&lt;&gt;"",'Dados de entrada'!$H$5-E20*'Dados de entrada'!$H$6,"")</f>
        <v>0</v>
      </c>
      <c r="R20" s="71">
        <f ca="1">IF(A20="","",IF(A20='Dados de entrada'!$E$2,PV('Dados de entrada'!$B$6,'Dados de entrada'!$B$10-'Dados de entrada'!$E$2+1,+L20*(-'Dados de entrada'!$E$3),,1)+L20*(1-'Dados de entrada'!$E$3)-M20-N20-P20-Q20,L20-M20-N20-P20-Q20))</f>
        <v>2839.2061670624357</v>
      </c>
      <c r="S20" s="74">
        <f t="shared" ca="1" si="0"/>
        <v>516</v>
      </c>
      <c r="T20" s="67">
        <f ca="1">IF(E20&lt;&gt;"",(-E20)/((1+'Dados de entrada'!$B$6)^(S20/30)),"")</f>
        <v>400.99429604320625</v>
      </c>
      <c r="U20" s="67">
        <f t="shared" ca="1" si="1"/>
        <v>206913.05675829443</v>
      </c>
      <c r="V20" s="71">
        <f ca="1">IF(F20="","",-'Dados de entrada'!$B$2)</f>
        <v>-3000</v>
      </c>
      <c r="X20" s="93">
        <f>+Resumo!$E$12-Resumo!$E$20</f>
        <v>0</v>
      </c>
      <c r="Y20" s="116">
        <f t="shared" si="10"/>
        <v>46728</v>
      </c>
      <c r="Z20" s="81">
        <v>30</v>
      </c>
      <c r="AA20" s="81">
        <f t="shared" ca="1" si="11"/>
        <v>508</v>
      </c>
      <c r="AB20" s="93">
        <f>IF(A20&lt;='Dados de entrada'!$B$18,'Dados de entrada'!$B$20,0)</f>
        <v>3000</v>
      </c>
      <c r="AC20" s="93">
        <f>IF(OR(Resumo!$E$23&gt;0,Resumo!$E$28&gt;0,Resumo!$E$33&gt;0),IF(AND(A20&gt;'Dados de entrada'!$B$18,A20&lt;='Dados de entrada'!$B$10),'Dados de entrada'!$B$21,0),IF(AND(A20&gt;'Dados de entrada'!$B$18,A20&lt;='Dados de entrada'!$B$10),'Dados de entrada'!$B$21,IF(A20&lt;='Dados de entrada'!$B$18,X20,0)))</f>
        <v>0</v>
      </c>
      <c r="AD20" s="93">
        <f ca="1">AC20/((1+'Dados de entrada'!$D$22)^($AA20/360))</f>
        <v>0</v>
      </c>
      <c r="AE20" s="93">
        <f>IF(A20&lt;='Dados de entrada'!$B$27,'Dados de entrada'!$B$29,0)</f>
        <v>0</v>
      </c>
      <c r="AF20" s="93">
        <f>IF(AND(A20&gt;'Dados de entrada'!$B$27,A20&lt;='Dados de entrada'!$B$10),'Dados de entrada'!$B$30,0)</f>
        <v>0</v>
      </c>
      <c r="AG20" s="93">
        <f ca="1">AF20/((1+'Dados de entrada'!$D$31)^($AA20/360))</f>
        <v>0</v>
      </c>
      <c r="AH20" s="93">
        <f>IF(A20&lt;='Dados de entrada'!$B$36,'Dados de entrada'!$B$38,0)</f>
        <v>0</v>
      </c>
      <c r="AI20" s="93">
        <f>IF(AND(A20&gt;'Dados de entrada'!$B$36,A20&lt;='Dados de entrada'!$B$10),'Dados de entrada'!$B$39,0)</f>
        <v>0</v>
      </c>
      <c r="AJ20" s="93">
        <f ca="1">AI20/((1+'Dados de entrada'!$D$40)^($AA20/360))</f>
        <v>0</v>
      </c>
      <c r="AK20" s="93">
        <f>IF(A20&lt;='Dados de entrada'!$B$45,'Dados de entrada'!$B$47,0)</f>
        <v>0</v>
      </c>
      <c r="AL20" s="93">
        <f>IF(AND(A20&gt;'Dados de entrada'!$B$45,A20&lt;='Dados de entrada'!$B$10),'Dados de entrada'!$B$48,0)</f>
        <v>0</v>
      </c>
      <c r="AM20" s="93">
        <f ca="1">AL20/((1+'Dados de entrada'!$D$49)^($AA20/360))</f>
        <v>0</v>
      </c>
      <c r="AN20" s="85">
        <f t="shared" si="9"/>
        <v>3000</v>
      </c>
    </row>
    <row r="21" spans="1:40">
      <c r="A21" s="69">
        <f>IF(A20="","",IF(A20+1&lt;='Dados de entrada'!$B$10,A20+1,""))</f>
        <v>18</v>
      </c>
      <c r="B21" s="70">
        <f t="shared" si="2"/>
        <v>46759</v>
      </c>
      <c r="C21" s="69">
        <f t="shared" si="3"/>
        <v>30</v>
      </c>
      <c r="D21" s="71">
        <f ca="1">IF(A21="","",F20*(1+'Dados de entrada'!$B$6)^(C21/30))</f>
        <v>23100.692596297995</v>
      </c>
      <c r="E21" s="71">
        <f ca="1">IF(A21="","",-'Dados de entrada'!$J$20)</f>
        <v>-615.26347669246445</v>
      </c>
      <c r="F21" s="71">
        <f t="shared" ca="1" si="4"/>
        <v>22485.429119605531</v>
      </c>
      <c r="G21" s="71">
        <f t="shared" ca="1" si="5"/>
        <v>47.389855954872473</v>
      </c>
      <c r="H21" s="69">
        <f t="shared" ca="1" si="6"/>
        <v>547</v>
      </c>
      <c r="I21" s="71">
        <f ca="1">IF(A21="","",MIN(H21,365)*G21*'Dados de entrada'!$B$11+G21*'Dados de entrada'!$B$12)</f>
        <v>1.5984598413578486</v>
      </c>
      <c r="J21" s="71">
        <f t="shared" ca="1" si="7"/>
        <v>-3000</v>
      </c>
      <c r="K21" s="71">
        <f t="shared" ca="1" si="8"/>
        <v>-3000</v>
      </c>
      <c r="L21" s="72">
        <f ca="1">IF(A21="","",IF(A21&lt;='Dados de entrada'!$J$2,-V20,-V20*(1-'Dados de entrada'!$J$3)))</f>
        <v>3000</v>
      </c>
      <c r="M21" s="72">
        <f ca="1">IF(A21="","",L21*'Dados de entrada'!$E$4)</f>
        <v>60.599999999999994</v>
      </c>
      <c r="N21" s="72">
        <f ca="1">IF(A21="","",IF(A21&lt;='Dados de entrada'!$E$2,'Dados de entrada'!$E$13*'Dados de entrada'!$E$10/'Dados de entrada'!$B$10,'Dados de entrada'!$E$13*'Dados de entrada'!$E$10/'Dados de entrada'!$B$10*(1-'Dados de entrada'!$E$3)))</f>
        <v>0</v>
      </c>
      <c r="O21" s="71">
        <f ca="1">IF(A21="","",IF(AND(A21='Dados de entrada'!$E$2),(O20*(1+'Dados de entrada'!$B$6)-L21)*(1-'Dados de entrada'!$E$3),IF(AND(A21&lt;&gt;'Dados de entrada'!$A$2),O20*(1+'Dados de entrada'!$B$6)^(C21/30)-L21,"")))</f>
        <v>109638.04924915792</v>
      </c>
      <c r="P21" s="71">
        <f ca="1">IF(A21="","",(O20*((1+'Dados de entrada'!$B$6)^(-DAYS360(B21,B20)/30)-1)-O20*((1+'Dados de entrada'!$H$10)^(-DAYS360(B21,B20)/360)-1))*4.65%)</f>
        <v>99.988711354803939</v>
      </c>
      <c r="Q21" s="75">
        <f ca="1">IF(E21&lt;&gt;"",'Dados de entrada'!$H$5-E21*'Dados de entrada'!$H$6,"")</f>
        <v>0</v>
      </c>
      <c r="R21" s="71">
        <f ca="1">IF(A21="","",IF(A21='Dados de entrada'!$E$2,PV('Dados de entrada'!$B$6,'Dados de entrada'!$B$10-'Dados de entrada'!$E$2+1,+L21*(-'Dados de entrada'!$E$3),,1)+L21*(1-'Dados de entrada'!$E$3)-M21-N21-P21-Q21,L21-M21-N21-P21-Q21))</f>
        <v>2839.4112886451962</v>
      </c>
      <c r="S21" s="74">
        <f t="shared" ca="1" si="0"/>
        <v>547</v>
      </c>
      <c r="T21" s="67">
        <f ca="1">IF(E21&lt;&gt;"",(-E21)/((1+'Dados de entrada'!$B$6)^(S21/30)),"")</f>
        <v>390.81246396824224</v>
      </c>
      <c r="U21" s="67">
        <f t="shared" ca="1" si="1"/>
        <v>213774.4177906285</v>
      </c>
      <c r="V21" s="71">
        <f ca="1">IF(F21="","",-'Dados de entrada'!$B$2)</f>
        <v>-3000</v>
      </c>
      <c r="X21" s="93">
        <f>+Resumo!$E$12-Resumo!$E$20</f>
        <v>0</v>
      </c>
      <c r="Y21" s="116">
        <f t="shared" si="10"/>
        <v>46759</v>
      </c>
      <c r="Z21" s="81">
        <v>30</v>
      </c>
      <c r="AA21" s="81">
        <f t="shared" ca="1" si="11"/>
        <v>538</v>
      </c>
      <c r="AB21" s="93">
        <f>IF(A21&lt;='Dados de entrada'!$B$18,'Dados de entrada'!$B$20,0)</f>
        <v>3000</v>
      </c>
      <c r="AC21" s="93">
        <f>IF(OR(Resumo!$E$23&gt;0,Resumo!$E$28&gt;0,Resumo!$E$33&gt;0),IF(AND(A21&gt;'Dados de entrada'!$B$18,A21&lt;='Dados de entrada'!$B$10),'Dados de entrada'!$B$21,0),IF(AND(A21&gt;'Dados de entrada'!$B$18,A21&lt;='Dados de entrada'!$B$10),'Dados de entrada'!$B$21,IF(A21&lt;='Dados de entrada'!$B$18,X21,0)))</f>
        <v>0</v>
      </c>
      <c r="AD21" s="93">
        <f ca="1">AC21/((1+'Dados de entrada'!$D$22)^($AA21/360))</f>
        <v>0</v>
      </c>
      <c r="AE21" s="93">
        <f>IF(A21&lt;='Dados de entrada'!$B$27,'Dados de entrada'!$B$29,0)</f>
        <v>0</v>
      </c>
      <c r="AF21" s="93">
        <f>IF(AND(A21&gt;'Dados de entrada'!$B$27,A21&lt;='Dados de entrada'!$B$10),'Dados de entrada'!$B$30,0)</f>
        <v>0</v>
      </c>
      <c r="AG21" s="93">
        <f ca="1">AF21/((1+'Dados de entrada'!$D$31)^($AA21/360))</f>
        <v>0</v>
      </c>
      <c r="AH21" s="93">
        <f>IF(A21&lt;='Dados de entrada'!$B$36,'Dados de entrada'!$B$38,0)</f>
        <v>0</v>
      </c>
      <c r="AI21" s="93">
        <f>IF(AND(A21&gt;'Dados de entrada'!$B$36,A21&lt;='Dados de entrada'!$B$10),'Dados de entrada'!$B$39,0)</f>
        <v>0</v>
      </c>
      <c r="AJ21" s="93">
        <f ca="1">AI21/((1+'Dados de entrada'!$D$40)^($AA21/360))</f>
        <v>0</v>
      </c>
      <c r="AK21" s="93">
        <f>IF(A21&lt;='Dados de entrada'!$B$45,'Dados de entrada'!$B$47,0)</f>
        <v>0</v>
      </c>
      <c r="AL21" s="93">
        <f>IF(AND(A21&gt;'Dados de entrada'!$B$45,A21&lt;='Dados de entrada'!$B$10),'Dados de entrada'!$B$48,0)</f>
        <v>0</v>
      </c>
      <c r="AM21" s="93">
        <f ca="1">AL21/((1+'Dados de entrada'!$D$49)^($AA21/360))</f>
        <v>0</v>
      </c>
      <c r="AN21" s="85">
        <f t="shared" si="9"/>
        <v>3000</v>
      </c>
    </row>
    <row r="22" spans="1:40">
      <c r="A22" s="69">
        <f>IF(A21="","",IF(A21+1&lt;='Dados de entrada'!$B$10,A21+1,""))</f>
        <v>19</v>
      </c>
      <c r="B22" s="70">
        <f t="shared" si="2"/>
        <v>46790</v>
      </c>
      <c r="C22" s="69">
        <f t="shared" si="3"/>
        <v>30</v>
      </c>
      <c r="D22" s="71">
        <f ca="1">IF(A22="","",F21*(1+'Dados de entrada'!$B$6)^(C22/30))</f>
        <v>23052.108418003048</v>
      </c>
      <c r="E22" s="71">
        <f ca="1">IF(A22="","",-'Dados de entrada'!$J$20)</f>
        <v>-615.26347669246445</v>
      </c>
      <c r="F22" s="71">
        <f t="shared" ca="1" si="4"/>
        <v>22436.844941310585</v>
      </c>
      <c r="G22" s="71">
        <f t="shared" ca="1" si="5"/>
        <v>48.584178294946469</v>
      </c>
      <c r="H22" s="69">
        <f t="shared" ca="1" si="6"/>
        <v>578</v>
      </c>
      <c r="I22" s="71">
        <f ca="1">IF(A22="","",MIN(H22,365)*G22*'Dados de entrada'!$B$11+G22*'Dados de entrada'!$B$12)</f>
        <v>1.6387443338885443</v>
      </c>
      <c r="J22" s="71">
        <f t="shared" ca="1" si="7"/>
        <v>-3000</v>
      </c>
      <c r="K22" s="71">
        <f t="shared" ca="1" si="8"/>
        <v>-3000</v>
      </c>
      <c r="L22" s="72">
        <f ca="1">IF(A22="","",IF(A22&lt;='Dados de entrada'!$J$2,-V21,-V21*(1-'Dados de entrada'!$J$3)))</f>
        <v>3000</v>
      </c>
      <c r="M22" s="72">
        <f ca="1">IF(A22="","",L22*'Dados de entrada'!$E$4)</f>
        <v>60.599999999999994</v>
      </c>
      <c r="N22" s="72">
        <f ca="1">IF(A22="","",IF(A22&lt;='Dados de entrada'!$E$2,'Dados de entrada'!$E$13*'Dados de entrada'!$E$10/'Dados de entrada'!$B$10,'Dados de entrada'!$E$13*'Dados de entrada'!$E$10/'Dados de entrada'!$B$10*(1-'Dados de entrada'!$E$3)))</f>
        <v>0</v>
      </c>
      <c r="O22" s="71">
        <f ca="1">IF(A22="","",IF(AND(A22='Dados de entrada'!$E$2),(O21*(1+'Dados de entrada'!$B$6)-L22)*(1-'Dados de entrada'!$E$3),IF(AND(A22&lt;&gt;'Dados de entrada'!$A$2),O21*(1+'Dados de entrada'!$B$6)^(C22/30)-L22,"")))</f>
        <v>109401.15474719857</v>
      </c>
      <c r="P22" s="71">
        <f ca="1">IF(A22="","",(O21*((1+'Dados de entrada'!$B$6)^(-DAYS360(B22,B21)/30)-1)-O21*((1+'Dados de entrada'!$H$10)^(-DAYS360(B22,B21)/360)-1))*4.65%)</f>
        <v>99.77842028410582</v>
      </c>
      <c r="Q22" s="75">
        <f ca="1">IF(E22&lt;&gt;"",'Dados de entrada'!$H$5-E22*'Dados de entrada'!$H$6,"")</f>
        <v>0</v>
      </c>
      <c r="R22" s="71">
        <f ca="1">IF(A22="","",IF(A22='Dados de entrada'!$E$2,PV('Dados de entrada'!$B$6,'Dados de entrada'!$B$10-'Dados de entrada'!$E$2+1,+L22*(-'Dados de entrada'!$E$3),,1)+L22*(1-'Dados de entrada'!$E$3)-M22-N22-P22-Q22,L22-M22-N22-P22-Q22))</f>
        <v>2839.6215797158943</v>
      </c>
      <c r="S22" s="74">
        <f t="shared" ca="1" si="0"/>
        <v>578</v>
      </c>
      <c r="T22" s="67">
        <f ca="1">IF(E22&lt;&gt;"",(-E22)/((1+'Dados de entrada'!$B$6)^(S22/30)),"")</f>
        <v>380.88916351187157</v>
      </c>
      <c r="U22" s="67">
        <f t="shared" ca="1" si="1"/>
        <v>220153.93650986176</v>
      </c>
      <c r="V22" s="71">
        <f ca="1">IF(F22="","",-'Dados de entrada'!$B$2)</f>
        <v>-3000</v>
      </c>
      <c r="X22" s="93">
        <f>+Resumo!$E$12-Resumo!$E$20</f>
        <v>0</v>
      </c>
      <c r="Y22" s="116">
        <f t="shared" si="10"/>
        <v>46790</v>
      </c>
      <c r="Z22" s="81">
        <v>30</v>
      </c>
      <c r="AA22" s="81">
        <f t="shared" ca="1" si="11"/>
        <v>568</v>
      </c>
      <c r="AB22" s="93">
        <f>IF(A22&lt;='Dados de entrada'!$B$18,'Dados de entrada'!$B$20,0)</f>
        <v>3000</v>
      </c>
      <c r="AC22" s="93">
        <f>IF(OR(Resumo!$E$23&gt;0,Resumo!$E$28&gt;0,Resumo!$E$33&gt;0),IF(AND(A22&gt;'Dados de entrada'!$B$18,A22&lt;='Dados de entrada'!$B$10),'Dados de entrada'!$B$21,0),IF(AND(A22&gt;'Dados de entrada'!$B$18,A22&lt;='Dados de entrada'!$B$10),'Dados de entrada'!$B$21,IF(A22&lt;='Dados de entrada'!$B$18,X22,0)))</f>
        <v>0</v>
      </c>
      <c r="AD22" s="93">
        <f ca="1">AC22/((1+'Dados de entrada'!$D$22)^($AA22/360))</f>
        <v>0</v>
      </c>
      <c r="AE22" s="93">
        <f>IF(A22&lt;='Dados de entrada'!$B$27,'Dados de entrada'!$B$29,0)</f>
        <v>0</v>
      </c>
      <c r="AF22" s="93">
        <f>IF(AND(A22&gt;'Dados de entrada'!$B$27,A22&lt;='Dados de entrada'!$B$10),'Dados de entrada'!$B$30,0)</f>
        <v>0</v>
      </c>
      <c r="AG22" s="93">
        <f ca="1">AF22/((1+'Dados de entrada'!$D$31)^($AA22/360))</f>
        <v>0</v>
      </c>
      <c r="AH22" s="93">
        <f>IF(A22&lt;='Dados de entrada'!$B$36,'Dados de entrada'!$B$38,0)</f>
        <v>0</v>
      </c>
      <c r="AI22" s="93">
        <f>IF(AND(A22&gt;'Dados de entrada'!$B$36,A22&lt;='Dados de entrada'!$B$10),'Dados de entrada'!$B$39,0)</f>
        <v>0</v>
      </c>
      <c r="AJ22" s="93">
        <f ca="1">AI22/((1+'Dados de entrada'!$D$40)^($AA22/360))</f>
        <v>0</v>
      </c>
      <c r="AK22" s="93">
        <f>IF(A22&lt;='Dados de entrada'!$B$45,'Dados de entrada'!$B$47,0)</f>
        <v>0</v>
      </c>
      <c r="AL22" s="93">
        <f>IF(AND(A22&gt;'Dados de entrada'!$B$45,A22&lt;='Dados de entrada'!$B$10),'Dados de entrada'!$B$48,0)</f>
        <v>0</v>
      </c>
      <c r="AM22" s="93">
        <f ca="1">AL22/((1+'Dados de entrada'!$D$49)^($AA22/360))</f>
        <v>0</v>
      </c>
      <c r="AN22" s="85">
        <f t="shared" si="9"/>
        <v>3000</v>
      </c>
    </row>
    <row r="23" spans="1:40">
      <c r="A23" s="69">
        <f>IF(A22="","",IF(A22+1&lt;='Dados de entrada'!$B$10,A22+1,""))</f>
        <v>20</v>
      </c>
      <c r="B23" s="70">
        <f t="shared" si="2"/>
        <v>46819</v>
      </c>
      <c r="C23" s="69">
        <f t="shared" si="3"/>
        <v>30</v>
      </c>
      <c r="D23" s="71">
        <f ca="1">IF(A23="","",F22*(1+'Dados de entrada'!$B$6)^(C23/30))</f>
        <v>23002.299817976011</v>
      </c>
      <c r="E23" s="71">
        <f ca="1">IF(A23="","",-'Dados de entrada'!$J$20)</f>
        <v>-615.26347669246445</v>
      </c>
      <c r="F23" s="71">
        <f t="shared" ca="1" si="4"/>
        <v>22387.036341283547</v>
      </c>
      <c r="G23" s="71">
        <f t="shared" ca="1" si="5"/>
        <v>49.808600027037755</v>
      </c>
      <c r="H23" s="69">
        <f t="shared" ca="1" si="6"/>
        <v>607</v>
      </c>
      <c r="I23" s="71">
        <f ca="1">IF(A23="","",MIN(H23,365)*G23*'Dados de entrada'!$B$11+G23*'Dados de entrada'!$B$12)</f>
        <v>1.6800440789119837</v>
      </c>
      <c r="J23" s="71">
        <f t="shared" ca="1" si="7"/>
        <v>-3000</v>
      </c>
      <c r="K23" s="71">
        <f t="shared" ca="1" si="8"/>
        <v>-3000</v>
      </c>
      <c r="L23" s="72">
        <f ca="1">IF(A23="","",IF(A23&lt;='Dados de entrada'!$J$2,-V22,-V22*(1-'Dados de entrada'!$J$3)))</f>
        <v>3000</v>
      </c>
      <c r="M23" s="72">
        <f ca="1">IF(A23="","",L23*'Dados de entrada'!$E$4)</f>
        <v>60.599999999999994</v>
      </c>
      <c r="N23" s="72">
        <f ca="1">IF(A23="","",IF(A23&lt;='Dados de entrada'!$E$2,'Dados de entrada'!$E$13*'Dados de entrada'!$E$10/'Dados de entrada'!$B$10,'Dados de entrada'!$E$13*'Dados de entrada'!$E$10/'Dados de entrada'!$B$10*(1-'Dados de entrada'!$E$3)))</f>
        <v>0</v>
      </c>
      <c r="O23" s="71">
        <f ca="1">IF(A23="","",IF(AND(A23='Dados de entrada'!$E$2),(O22*(1+'Dados de entrada'!$B$6)-L23)*(1-'Dados de entrada'!$E$3),IF(AND(A23&lt;&gt;'Dados de entrada'!$A$2),O22*(1+'Dados de entrada'!$B$6)^(C23/30)-L23,"")))</f>
        <v>109158.29001405303</v>
      </c>
      <c r="P23" s="71">
        <f ca="1">IF(A23="","",(O22*((1+'Dados de entrada'!$B$6)^(-DAYS360(B23,B22)/30)-1)-O22*((1+'Dados de entrada'!$H$10)^(-DAYS360(B23,B22)/360)-1))*4.65%)</f>
        <v>99.562829443687107</v>
      </c>
      <c r="Q23" s="75">
        <f ca="1">IF(E23&lt;&gt;"",'Dados de entrada'!$H$5-E23*'Dados de entrada'!$H$6,"")</f>
        <v>0</v>
      </c>
      <c r="R23" s="71">
        <f ca="1">IF(A23="","",IF(A23='Dados de entrada'!$E$2,PV('Dados de entrada'!$B$6,'Dados de entrada'!$B$10-'Dados de entrada'!$E$2+1,+L23*(-'Dados de entrada'!$E$3),,1)+L23*(1-'Dados de entrada'!$E$3)-M23-N23-P23-Q23,L23-M23-N23-P23-Q23))</f>
        <v>2839.8371705563131</v>
      </c>
      <c r="S23" s="74">
        <f t="shared" ca="1" si="0"/>
        <v>607</v>
      </c>
      <c r="T23" s="67">
        <f ca="1">IF(E23&lt;&gt;"",(-E23)/((1+'Dados de entrada'!$B$6)^(S23/30)),"")</f>
        <v>371.83430899024307</v>
      </c>
      <c r="U23" s="67">
        <f t="shared" ca="1" si="1"/>
        <v>225703.42555707754</v>
      </c>
      <c r="V23" s="71">
        <f ca="1">IF(F23="","",-'Dados de entrada'!$B$2)</f>
        <v>-3000</v>
      </c>
      <c r="X23" s="93">
        <f>+Resumo!$E$12-Resumo!$E$20</f>
        <v>0</v>
      </c>
      <c r="Y23" s="116">
        <f t="shared" si="10"/>
        <v>46819</v>
      </c>
      <c r="Z23" s="81">
        <v>30</v>
      </c>
      <c r="AA23" s="81">
        <f t="shared" ca="1" si="11"/>
        <v>598</v>
      </c>
      <c r="AB23" s="93">
        <f>IF(A23&lt;='Dados de entrada'!$B$18,'Dados de entrada'!$B$20,0)</f>
        <v>3000</v>
      </c>
      <c r="AC23" s="93">
        <f>IF(OR(Resumo!$E$23&gt;0,Resumo!$E$28&gt;0,Resumo!$E$33&gt;0),IF(AND(A23&gt;'Dados de entrada'!$B$18,A23&lt;='Dados de entrada'!$B$10),'Dados de entrada'!$B$21,0),IF(AND(A23&gt;'Dados de entrada'!$B$18,A23&lt;='Dados de entrada'!$B$10),'Dados de entrada'!$B$21,IF(A23&lt;='Dados de entrada'!$B$18,X23,0)))</f>
        <v>0</v>
      </c>
      <c r="AD23" s="93">
        <f ca="1">AC23/((1+'Dados de entrada'!$D$22)^($AA23/360))</f>
        <v>0</v>
      </c>
      <c r="AE23" s="93">
        <f>IF(A23&lt;='Dados de entrada'!$B$27,'Dados de entrada'!$B$29,0)</f>
        <v>0</v>
      </c>
      <c r="AF23" s="93">
        <f>IF(AND(A23&gt;'Dados de entrada'!$B$27,A23&lt;='Dados de entrada'!$B$10),'Dados de entrada'!$B$30,0)</f>
        <v>0</v>
      </c>
      <c r="AG23" s="93">
        <f ca="1">AF23/((1+'Dados de entrada'!$D$31)^($AA23/360))</f>
        <v>0</v>
      </c>
      <c r="AH23" s="93">
        <f>IF(A23&lt;='Dados de entrada'!$B$36,'Dados de entrada'!$B$38,0)</f>
        <v>0</v>
      </c>
      <c r="AI23" s="93">
        <f>IF(AND(A23&gt;'Dados de entrada'!$B$36,A23&lt;='Dados de entrada'!$B$10),'Dados de entrada'!$B$39,0)</f>
        <v>0</v>
      </c>
      <c r="AJ23" s="93">
        <f ca="1">AI23/((1+'Dados de entrada'!$D$40)^($AA23/360))</f>
        <v>0</v>
      </c>
      <c r="AK23" s="93">
        <f>IF(A23&lt;='Dados de entrada'!$B$45,'Dados de entrada'!$B$47,0)</f>
        <v>0</v>
      </c>
      <c r="AL23" s="93">
        <f>IF(AND(A23&gt;'Dados de entrada'!$B$45,A23&lt;='Dados de entrada'!$B$10),'Dados de entrada'!$B$48,0)</f>
        <v>0</v>
      </c>
      <c r="AM23" s="93">
        <f ca="1">AL23/((1+'Dados de entrada'!$D$49)^($AA23/360))</f>
        <v>0</v>
      </c>
      <c r="AN23" s="85">
        <f t="shared" si="9"/>
        <v>3000</v>
      </c>
    </row>
    <row r="24" spans="1:40">
      <c r="A24" s="69">
        <f>IF(A23="","",IF(A23+1&lt;='Dados de entrada'!$B$10,A23+1,""))</f>
        <v>21</v>
      </c>
      <c r="B24" s="70">
        <f t="shared" si="2"/>
        <v>46850</v>
      </c>
      <c r="C24" s="69">
        <f t="shared" si="3"/>
        <v>30</v>
      </c>
      <c r="D24" s="71">
        <f ca="1">IF(A24="","",F23*(1+'Dados de entrada'!$B$6)^(C24/30))</f>
        <v>22951.235938257963</v>
      </c>
      <c r="E24" s="71">
        <f ca="1">IF(A24="","",-'Dados de entrada'!$J$20)</f>
        <v>-615.26347669246445</v>
      </c>
      <c r="F24" s="71">
        <f t="shared" ca="1" si="4"/>
        <v>22335.9724615655</v>
      </c>
      <c r="G24" s="71">
        <f t="shared" ca="1" si="5"/>
        <v>51.063879718047247</v>
      </c>
      <c r="H24" s="69">
        <f t="shared" ca="1" si="6"/>
        <v>638</v>
      </c>
      <c r="I24" s="71">
        <f ca="1">IF(A24="","",MIN(H24,365)*G24*'Dados de entrada'!$B$11+G24*'Dados de entrada'!$B$12)</f>
        <v>1.7223846628897337</v>
      </c>
      <c r="J24" s="71">
        <f t="shared" ca="1" si="7"/>
        <v>-3000</v>
      </c>
      <c r="K24" s="71">
        <f t="shared" ca="1" si="8"/>
        <v>-3000</v>
      </c>
      <c r="L24" s="72">
        <f ca="1">IF(A24="","",IF(A24&lt;='Dados de entrada'!$J$2,-V23,-V23*(1-'Dados de entrada'!$J$3)))</f>
        <v>3000</v>
      </c>
      <c r="M24" s="72">
        <f ca="1">IF(A24="","",L24*'Dados de entrada'!$E$4)</f>
        <v>60.599999999999994</v>
      </c>
      <c r="N24" s="72">
        <f ca="1">IF(A24="","",IF(A24&lt;='Dados de entrada'!$E$2,'Dados de entrada'!$E$13*'Dados de entrada'!$E$10/'Dados de entrada'!$B$10,'Dados de entrada'!$E$13*'Dados de entrada'!$E$10/'Dados de entrada'!$B$10*(1-'Dados de entrada'!$E$3)))</f>
        <v>0</v>
      </c>
      <c r="O24" s="71">
        <f ca="1">IF(A24="","",IF(AND(A24='Dados de entrada'!$E$2),(O23*(1+'Dados de entrada'!$B$6)-L24)*(1-'Dados de entrada'!$E$3),IF(AND(A24&lt;&gt;'Dados de entrada'!$A$2),O23*(1+'Dados de entrada'!$B$6)^(C24/30)-L24,"")))</f>
        <v>108909.30458755304</v>
      </c>
      <c r="P24" s="71">
        <f ca="1">IF(A24="","",(O23*((1+'Dados de entrada'!$B$6)^(-DAYS360(B24,B23)/30)-1)-O23*((1+'Dados de entrada'!$H$10)^(-DAYS360(B24,B23)/360)-1))*4.65%)</f>
        <v>99.341805268394538</v>
      </c>
      <c r="Q24" s="75">
        <f ca="1">IF(E24&lt;&gt;"",'Dados de entrada'!$H$5-E24*'Dados de entrada'!$H$6,"")</f>
        <v>0</v>
      </c>
      <c r="R24" s="71">
        <f ca="1">IF(A24="","",IF(A24='Dados de entrada'!$E$2,PV('Dados de entrada'!$B$6,'Dados de entrada'!$B$10-'Dados de entrada'!$E$2+1,+L24*(-'Dados de entrada'!$E$3),,1)+L24*(1-'Dados de entrada'!$E$3)-M24-N24-P24-Q24,L24-M24-N24-P24-Q24))</f>
        <v>2840.0581947316055</v>
      </c>
      <c r="S24" s="74">
        <f t="shared" ca="1" si="0"/>
        <v>638</v>
      </c>
      <c r="T24" s="67">
        <f ca="1">IF(E24&lt;&gt;"",(-E24)/((1+'Dados de entrada'!$B$6)^(S24/30)),"")</f>
        <v>362.39289166534172</v>
      </c>
      <c r="U24" s="67">
        <f t="shared" ca="1" si="1"/>
        <v>231206.66488248802</v>
      </c>
      <c r="V24" s="71">
        <f ca="1">IF(F24="","",-'Dados de entrada'!$B$2)</f>
        <v>-3000</v>
      </c>
      <c r="X24" s="93">
        <f>+Resumo!$E$12-Resumo!$E$20</f>
        <v>0</v>
      </c>
      <c r="Y24" s="116">
        <f t="shared" si="10"/>
        <v>46850</v>
      </c>
      <c r="Z24" s="81">
        <v>30</v>
      </c>
      <c r="AA24" s="81">
        <f t="shared" ca="1" si="11"/>
        <v>628</v>
      </c>
      <c r="AB24" s="93">
        <f>IF(A24&lt;='Dados de entrada'!$B$18,'Dados de entrada'!$B$20,0)</f>
        <v>3000</v>
      </c>
      <c r="AC24" s="93">
        <f>IF(OR(Resumo!$E$23&gt;0,Resumo!$E$28&gt;0,Resumo!$E$33&gt;0),IF(AND(A24&gt;'Dados de entrada'!$B$18,A24&lt;='Dados de entrada'!$B$10),'Dados de entrada'!$B$21,0),IF(AND(A24&gt;'Dados de entrada'!$B$18,A24&lt;='Dados de entrada'!$B$10),'Dados de entrada'!$B$21,IF(A24&lt;='Dados de entrada'!$B$18,X24,0)))</f>
        <v>0</v>
      </c>
      <c r="AD24" s="93">
        <f ca="1">AC24/((1+'Dados de entrada'!$D$22)^($AA24/360))</f>
        <v>0</v>
      </c>
      <c r="AE24" s="93">
        <f>IF(A24&lt;='Dados de entrada'!$B$27,'Dados de entrada'!$B$29,0)</f>
        <v>0</v>
      </c>
      <c r="AF24" s="93">
        <f>IF(AND(A24&gt;'Dados de entrada'!$B$27,A24&lt;='Dados de entrada'!$B$10),'Dados de entrada'!$B$30,0)</f>
        <v>0</v>
      </c>
      <c r="AG24" s="93">
        <f ca="1">AF24/((1+'Dados de entrada'!$D$31)^($AA24/360))</f>
        <v>0</v>
      </c>
      <c r="AH24" s="93">
        <f>IF(A24&lt;='Dados de entrada'!$B$36,'Dados de entrada'!$B$38,0)</f>
        <v>0</v>
      </c>
      <c r="AI24" s="93">
        <f>IF(AND(A24&gt;'Dados de entrada'!$B$36,A24&lt;='Dados de entrada'!$B$10),'Dados de entrada'!$B$39,0)</f>
        <v>0</v>
      </c>
      <c r="AJ24" s="93">
        <f ca="1">AI24/((1+'Dados de entrada'!$D$40)^($AA24/360))</f>
        <v>0</v>
      </c>
      <c r="AK24" s="93">
        <f>IF(A24&lt;='Dados de entrada'!$B$45,'Dados de entrada'!$B$47,0)</f>
        <v>0</v>
      </c>
      <c r="AL24" s="93">
        <f>IF(AND(A24&gt;'Dados de entrada'!$B$45,A24&lt;='Dados de entrada'!$B$10),'Dados de entrada'!$B$48,0)</f>
        <v>0</v>
      </c>
      <c r="AM24" s="93">
        <f ca="1">AL24/((1+'Dados de entrada'!$D$49)^($AA24/360))</f>
        <v>0</v>
      </c>
      <c r="AN24" s="85">
        <f t="shared" si="9"/>
        <v>3000</v>
      </c>
    </row>
    <row r="25" spans="1:40">
      <c r="A25" s="69">
        <f>IF(A24="","",IF(A24+1&lt;='Dados de entrada'!$B$10,A24+1,""))</f>
        <v>22</v>
      </c>
      <c r="B25" s="70">
        <f t="shared" si="2"/>
        <v>46880</v>
      </c>
      <c r="C25" s="69">
        <f t="shared" si="3"/>
        <v>30</v>
      </c>
      <c r="D25" s="71">
        <f ca="1">IF(A25="","",F24*(1+'Dados de entrada'!$B$6)^(C25/30))</f>
        <v>22898.885143205629</v>
      </c>
      <c r="E25" s="71">
        <f ca="1">IF(A25="","",-'Dados de entrada'!$J$20)</f>
        <v>-615.26347669246445</v>
      </c>
      <c r="F25" s="71">
        <f t="shared" ca="1" si="4"/>
        <v>22283.621666513165</v>
      </c>
      <c r="G25" s="71">
        <f t="shared" ca="1" si="5"/>
        <v>52.350795052334433</v>
      </c>
      <c r="H25" s="69">
        <f t="shared" ca="1" si="6"/>
        <v>668</v>
      </c>
      <c r="I25" s="71">
        <f ca="1">IF(A25="","",MIN(H25,365)*G25*'Dados de entrada'!$B$11+G25*'Dados de entrada'!$B$12)</f>
        <v>1.7657923171152405</v>
      </c>
      <c r="J25" s="71">
        <f t="shared" ca="1" si="7"/>
        <v>-3000</v>
      </c>
      <c r="K25" s="71">
        <f t="shared" ca="1" si="8"/>
        <v>-3000</v>
      </c>
      <c r="L25" s="72">
        <f ca="1">IF(A25="","",IF(A25&lt;='Dados de entrada'!$J$2,-V24,-V24*(1-'Dados de entrada'!$J$3)))</f>
        <v>3000</v>
      </c>
      <c r="M25" s="72">
        <f ca="1">IF(A25="","",L25*'Dados de entrada'!$E$4)</f>
        <v>60.599999999999994</v>
      </c>
      <c r="N25" s="72">
        <f ca="1">IF(A25="","",IF(A25&lt;='Dados de entrada'!$E$2,'Dados de entrada'!$E$13*'Dados de entrada'!$E$10/'Dados de entrada'!$B$10,'Dados de entrada'!$E$13*'Dados de entrada'!$E$10/'Dados de entrada'!$B$10*(1-'Dados de entrada'!$E$3)))</f>
        <v>0</v>
      </c>
      <c r="O25" s="71">
        <f ca="1">IF(A25="","",IF(AND(A25='Dados de entrada'!$E$2),(O24*(1+'Dados de entrada'!$B$6)-L25)*(1-'Dados de entrada'!$E$3),IF(AND(A25&lt;&gt;'Dados de entrada'!$A$2),O24*(1+'Dados de entrada'!$B$6)^(C25/30)-L25,"")))</f>
        <v>108654.04421357262</v>
      </c>
      <c r="P25" s="71">
        <f ca="1">IF(A25="","",(O24*((1+'Dados de entrada'!$B$6)^(-DAYS360(B25,B24)/30)-1)-O24*((1+'Dados de entrada'!$H$10)^(-DAYS360(B25,B24)/360)-1))*4.65%)</f>
        <v>99.115210826956826</v>
      </c>
      <c r="Q25" s="75">
        <f ca="1">IF(E25&lt;&gt;"",'Dados de entrada'!$H$5-E25*'Dados de entrada'!$H$6,"")</f>
        <v>0</v>
      </c>
      <c r="R25" s="71">
        <f ca="1">IF(A25="","",IF(A25='Dados de entrada'!$E$2,PV('Dados de entrada'!$B$6,'Dados de entrada'!$B$10-'Dados de entrada'!$E$2+1,+L25*(-'Dados de entrada'!$E$3),,1)+L25*(1-'Dados de entrada'!$E$3)-M25-N25-P25-Q25,L25-M25-N25-P25-Q25))</f>
        <v>2840.2847891730435</v>
      </c>
      <c r="S25" s="74">
        <f t="shared" ca="1" si="0"/>
        <v>668</v>
      </c>
      <c r="T25" s="67">
        <f ca="1">IF(E25&lt;&gt;"",(-E25)/((1+'Dados de entrada'!$B$6)^(S25/30)),"")</f>
        <v>353.48435515018366</v>
      </c>
      <c r="U25" s="67">
        <f t="shared" ca="1" si="1"/>
        <v>236127.5492403227</v>
      </c>
      <c r="V25" s="71">
        <f ca="1">IF(F25="","",-'Dados de entrada'!$B$2)</f>
        <v>-3000</v>
      </c>
      <c r="X25" s="93">
        <f>+Resumo!$E$12-Resumo!$E$20</f>
        <v>0</v>
      </c>
      <c r="Y25" s="116">
        <f t="shared" si="10"/>
        <v>46880</v>
      </c>
      <c r="Z25" s="81">
        <v>30</v>
      </c>
      <c r="AA25" s="81">
        <f t="shared" ca="1" si="11"/>
        <v>658</v>
      </c>
      <c r="AB25" s="93">
        <f>IF(A25&lt;='Dados de entrada'!$B$18,'Dados de entrada'!$B$20,0)</f>
        <v>3000</v>
      </c>
      <c r="AC25" s="93">
        <f>IF(OR(Resumo!$E$23&gt;0,Resumo!$E$28&gt;0,Resumo!$E$33&gt;0),IF(AND(A25&gt;'Dados de entrada'!$B$18,A25&lt;='Dados de entrada'!$B$10),'Dados de entrada'!$B$21,0),IF(AND(A25&gt;'Dados de entrada'!$B$18,A25&lt;='Dados de entrada'!$B$10),'Dados de entrada'!$B$21,IF(A25&lt;='Dados de entrada'!$B$18,X25,0)))</f>
        <v>0</v>
      </c>
      <c r="AD25" s="93">
        <f ca="1">AC25/((1+'Dados de entrada'!$D$22)^($AA25/360))</f>
        <v>0</v>
      </c>
      <c r="AE25" s="93">
        <f>IF(A25&lt;='Dados de entrada'!$B$27,'Dados de entrada'!$B$29,0)</f>
        <v>0</v>
      </c>
      <c r="AF25" s="93">
        <f>IF(AND(A25&gt;'Dados de entrada'!$B$27,A25&lt;='Dados de entrada'!$B$10),'Dados de entrada'!$B$30,0)</f>
        <v>0</v>
      </c>
      <c r="AG25" s="93">
        <f ca="1">AF25/((1+'Dados de entrada'!$D$31)^($AA25/360))</f>
        <v>0</v>
      </c>
      <c r="AH25" s="93">
        <f>IF(A25&lt;='Dados de entrada'!$B$36,'Dados de entrada'!$B$38,0)</f>
        <v>0</v>
      </c>
      <c r="AI25" s="93">
        <f>IF(AND(A25&gt;'Dados de entrada'!$B$36,A25&lt;='Dados de entrada'!$B$10),'Dados de entrada'!$B$39,0)</f>
        <v>0</v>
      </c>
      <c r="AJ25" s="93">
        <f ca="1">AI25/((1+'Dados de entrada'!$D$40)^($AA25/360))</f>
        <v>0</v>
      </c>
      <c r="AK25" s="93">
        <f>IF(A25&lt;='Dados de entrada'!$B$45,'Dados de entrada'!$B$47,0)</f>
        <v>0</v>
      </c>
      <c r="AL25" s="93">
        <f>IF(AND(A25&gt;'Dados de entrada'!$B$45,A25&lt;='Dados de entrada'!$B$10),'Dados de entrada'!$B$48,0)</f>
        <v>0</v>
      </c>
      <c r="AM25" s="93">
        <f ca="1">AL25/((1+'Dados de entrada'!$D$49)^($AA25/360))</f>
        <v>0</v>
      </c>
      <c r="AN25" s="85">
        <f t="shared" si="9"/>
        <v>3000</v>
      </c>
    </row>
    <row r="26" spans="1:40">
      <c r="A26" s="69">
        <f>IF(A25="","",IF(A25+1&lt;='Dados de entrada'!$B$10,A25+1,""))</f>
        <v>23</v>
      </c>
      <c r="B26" s="70">
        <f t="shared" si="2"/>
        <v>46911</v>
      </c>
      <c r="C26" s="69">
        <f t="shared" si="3"/>
        <v>30</v>
      </c>
      <c r="D26" s="71">
        <f ca="1">IF(A26="","",F25*(1+'Dados de entrada'!$B$6)^(C26/30))</f>
        <v>22845.214999892116</v>
      </c>
      <c r="E26" s="71">
        <f ca="1">IF(A26="","",-'Dados de entrada'!$J$20)</f>
        <v>-615.26347669246445</v>
      </c>
      <c r="F26" s="71">
        <f t="shared" ca="1" si="4"/>
        <v>22229.951523199652</v>
      </c>
      <c r="G26" s="71">
        <f t="shared" ca="1" si="5"/>
        <v>53.670143313513108</v>
      </c>
      <c r="H26" s="69">
        <f t="shared" ca="1" si="6"/>
        <v>699</v>
      </c>
      <c r="I26" s="71">
        <f ca="1">IF(A26="","",MIN(H26,365)*G26*'Dados de entrada'!$B$11+G26*'Dados de entrada'!$B$12)</f>
        <v>1.8102939339647972</v>
      </c>
      <c r="J26" s="71">
        <f t="shared" ca="1" si="7"/>
        <v>-3000</v>
      </c>
      <c r="K26" s="71">
        <f t="shared" ca="1" si="8"/>
        <v>-3000</v>
      </c>
      <c r="L26" s="72">
        <f ca="1">IF(A26="","",IF(A26&lt;='Dados de entrada'!$J$2,-V25,-V25*(1-'Dados de entrada'!$J$3)))</f>
        <v>3000</v>
      </c>
      <c r="M26" s="72">
        <f ca="1">IF(A26="","",L26*'Dados de entrada'!$E$4)</f>
        <v>60.599999999999994</v>
      </c>
      <c r="N26" s="72">
        <f ca="1">IF(A26="","",IF(A26&lt;='Dados de entrada'!$E$2,'Dados de entrada'!$E$13*'Dados de entrada'!$E$10/'Dados de entrada'!$B$10,'Dados de entrada'!$E$13*'Dados de entrada'!$E$10/'Dados de entrada'!$B$10*(1-'Dados de entrada'!$E$3)))</f>
        <v>0</v>
      </c>
      <c r="O26" s="71">
        <f ca="1">IF(A26="","",IF(AND(A26='Dados de entrada'!$E$2),(O25*(1+'Dados de entrada'!$B$6)-L26)*(1-'Dados de entrada'!$E$3),IF(AND(A26&lt;&gt;'Dados de entrada'!$A$2),O25*(1+'Dados de entrada'!$B$6)^(C26/30)-L26,"")))</f>
        <v>108392.35075046295</v>
      </c>
      <c r="P26" s="71">
        <f ca="1">IF(A26="","",(O25*((1+'Dados de entrada'!$B$6)^(-DAYS360(B26,B25)/30)-1)-O25*((1+'Dados de entrada'!$H$10)^(-DAYS360(B26,B25)/360)-1))*4.65%)</f>
        <v>98.882905737151574</v>
      </c>
      <c r="Q26" s="75">
        <f ca="1">IF(E26&lt;&gt;"",'Dados de entrada'!$H$5-E26*'Dados de entrada'!$H$6,"")</f>
        <v>0</v>
      </c>
      <c r="R26" s="71">
        <f ca="1">IF(A26="","",IF(A26='Dados de entrada'!$E$2,PV('Dados de entrada'!$B$6,'Dados de entrada'!$B$10-'Dados de entrada'!$E$2+1,+L26*(-'Dados de entrada'!$E$3),,1)+L26*(1-'Dados de entrada'!$E$3)-M26-N26-P26-Q26,L26-M26-N26-P26-Q26))</f>
        <v>2840.5170942628483</v>
      </c>
      <c r="S26" s="74">
        <f t="shared" ca="1" si="0"/>
        <v>699</v>
      </c>
      <c r="T26" s="67">
        <f ca="1">IF(E26&lt;&gt;"",(-E26)/((1+'Dados de entrada'!$B$6)^(S26/30)),"")</f>
        <v>344.50887001041917</v>
      </c>
      <c r="U26" s="67">
        <f t="shared" ca="1" si="1"/>
        <v>240811.70013728301</v>
      </c>
      <c r="V26" s="71">
        <f ca="1">IF(F26="","",-'Dados de entrada'!$B$2)</f>
        <v>-3000</v>
      </c>
      <c r="X26" s="93">
        <f>+Resumo!$E$12-Resumo!$E$20</f>
        <v>0</v>
      </c>
      <c r="Y26" s="116">
        <f t="shared" si="10"/>
        <v>46911</v>
      </c>
      <c r="Z26" s="81">
        <v>30</v>
      </c>
      <c r="AA26" s="81">
        <f t="shared" ca="1" si="11"/>
        <v>688</v>
      </c>
      <c r="AB26" s="93">
        <f>IF(A26&lt;='Dados de entrada'!$B$18,'Dados de entrada'!$B$20,0)</f>
        <v>3000</v>
      </c>
      <c r="AC26" s="93">
        <f>IF(OR(Resumo!$E$23&gt;0,Resumo!$E$28&gt;0,Resumo!$E$33&gt;0),IF(AND(A26&gt;'Dados de entrada'!$B$18,A26&lt;='Dados de entrada'!$B$10),'Dados de entrada'!$B$21,0),IF(AND(A26&gt;'Dados de entrada'!$B$18,A26&lt;='Dados de entrada'!$B$10),'Dados de entrada'!$B$21,IF(A26&lt;='Dados de entrada'!$B$18,X26,0)))</f>
        <v>0</v>
      </c>
      <c r="AD26" s="93">
        <f ca="1">AC26/((1+'Dados de entrada'!$D$22)^($AA26/360))</f>
        <v>0</v>
      </c>
      <c r="AE26" s="93">
        <f>IF(A26&lt;='Dados de entrada'!$B$27,'Dados de entrada'!$B$29,0)</f>
        <v>0</v>
      </c>
      <c r="AF26" s="93">
        <f>IF(AND(A26&gt;'Dados de entrada'!$B$27,A26&lt;='Dados de entrada'!$B$10),'Dados de entrada'!$B$30,0)</f>
        <v>0</v>
      </c>
      <c r="AG26" s="93">
        <f ca="1">AF26/((1+'Dados de entrada'!$D$31)^($AA26/360))</f>
        <v>0</v>
      </c>
      <c r="AH26" s="93">
        <f>IF(A26&lt;='Dados de entrada'!$B$36,'Dados de entrada'!$B$38,0)</f>
        <v>0</v>
      </c>
      <c r="AI26" s="93">
        <f>IF(AND(A26&gt;'Dados de entrada'!$B$36,A26&lt;='Dados de entrada'!$B$10),'Dados de entrada'!$B$39,0)</f>
        <v>0</v>
      </c>
      <c r="AJ26" s="93">
        <f ca="1">AI26/((1+'Dados de entrada'!$D$40)^($AA26/360))</f>
        <v>0</v>
      </c>
      <c r="AK26" s="93">
        <f>IF(A26&lt;='Dados de entrada'!$B$45,'Dados de entrada'!$B$47,0)</f>
        <v>0</v>
      </c>
      <c r="AL26" s="93">
        <f>IF(AND(A26&gt;'Dados de entrada'!$B$45,A26&lt;='Dados de entrada'!$B$10),'Dados de entrada'!$B$48,0)</f>
        <v>0</v>
      </c>
      <c r="AM26" s="93">
        <f ca="1">AL26/((1+'Dados de entrada'!$D$49)^($AA26/360))</f>
        <v>0</v>
      </c>
      <c r="AN26" s="85">
        <f t="shared" si="9"/>
        <v>3000</v>
      </c>
    </row>
    <row r="27" spans="1:40">
      <c r="A27" s="69">
        <f>IF(A26="","",IF(A26+1&lt;='Dados de entrada'!$B$10,A26+1,""))</f>
        <v>24</v>
      </c>
      <c r="B27" s="70">
        <f t="shared" si="2"/>
        <v>46941</v>
      </c>
      <c r="C27" s="69">
        <f t="shared" si="3"/>
        <v>30</v>
      </c>
      <c r="D27" s="71">
        <f ca="1">IF(A27="","",F26*(1+'Dados de entrada'!$B$6)^(C27/30))</f>
        <v>22790.192258013725</v>
      </c>
      <c r="E27" s="71">
        <f ca="1">IF(A27="","",-'Dados de entrada'!$J$20)</f>
        <v>-615.26347669246445</v>
      </c>
      <c r="F27" s="71">
        <f t="shared" ca="1" si="4"/>
        <v>22174.928781321261</v>
      </c>
      <c r="G27" s="71">
        <f t="shared" ca="1" si="5"/>
        <v>55.022741878390661</v>
      </c>
      <c r="H27" s="69">
        <f t="shared" ca="1" si="6"/>
        <v>729</v>
      </c>
      <c r="I27" s="71">
        <f ca="1">IF(A27="","",MIN(H27,365)*G27*'Dados de entrada'!$B$11+G27*'Dados de entrada'!$B$12)</f>
        <v>1.8559170835581171</v>
      </c>
      <c r="J27" s="71">
        <f t="shared" ca="1" si="7"/>
        <v>-3000</v>
      </c>
      <c r="K27" s="71">
        <f t="shared" ca="1" si="8"/>
        <v>-3000</v>
      </c>
      <c r="L27" s="72">
        <f ca="1">IF(A27="","",IF(A27&lt;='Dados de entrada'!$J$2,-V26,-V26*(1-'Dados de entrada'!$J$3)))</f>
        <v>3000</v>
      </c>
      <c r="M27" s="72">
        <f ca="1">IF(A27="","",L27*'Dados de entrada'!$E$4)</f>
        <v>60.599999999999994</v>
      </c>
      <c r="N27" s="72">
        <f ca="1">IF(A27="","",IF(A27&lt;='Dados de entrada'!$E$2,'Dados de entrada'!$E$13*'Dados de entrada'!$E$10/'Dados de entrada'!$B$10,'Dados de entrada'!$E$13*'Dados de entrada'!$E$10/'Dados de entrada'!$B$10*(1-'Dados de entrada'!$E$3)))</f>
        <v>0</v>
      </c>
      <c r="O27" s="71">
        <f ca="1">IF(A27="","",IF(AND(A27='Dados de entrada'!$E$2),(O26*(1+'Dados de entrada'!$B$6)-L27)*(1-'Dados de entrada'!$E$3),IF(AND(A27&lt;&gt;'Dados de entrada'!$A$2),O26*(1+'Dados de entrada'!$B$6)^(C27/30)-L27,"")))</f>
        <v>108124.06207107872</v>
      </c>
      <c r="P27" s="71">
        <f ca="1">IF(A27="","",(O26*((1+'Dados de entrada'!$B$6)^(-DAYS360(B27,B26)/30)-1)-O26*((1+'Dados de entrada'!$H$10)^(-DAYS360(B27,B26)/360)-1))*4.65%)</f>
        <v>98.644746078834231</v>
      </c>
      <c r="Q27" s="75">
        <f ca="1">IF(E27&lt;&gt;"",'Dados de entrada'!$H$5-E27*'Dados de entrada'!$H$6,"")</f>
        <v>0</v>
      </c>
      <c r="R27" s="71">
        <f ca="1">IF(A27="","",IF(A27='Dados de entrada'!$E$2,PV('Dados de entrada'!$B$6,'Dados de entrada'!$B$10-'Dados de entrada'!$E$2+1,+L27*(-'Dados de entrada'!$E$3),,1)+L27*(1-'Dados de entrada'!$E$3)-M27-N27-P27-Q27,L27-M27-N27-P27-Q27))</f>
        <v>2840.7552539211661</v>
      </c>
      <c r="S27" s="74">
        <f t="shared" ca="1" si="0"/>
        <v>729</v>
      </c>
      <c r="T27" s="67">
        <f ca="1">IF(E27&lt;&gt;"",(-E27)/((1+'Dados de entrada'!$B$6)^(S27/30)),"")</f>
        <v>336.03996811176421</v>
      </c>
      <c r="U27" s="67">
        <f t="shared" ca="1" si="1"/>
        <v>244973.13675347611</v>
      </c>
      <c r="V27" s="71">
        <f ca="1">IF(F27="","",-'Dados de entrada'!$B$2)</f>
        <v>-3000</v>
      </c>
      <c r="X27" s="93">
        <f>+Resumo!$E$12-Resumo!$E$20</f>
        <v>0</v>
      </c>
      <c r="Y27" s="116">
        <f t="shared" si="10"/>
        <v>46941</v>
      </c>
      <c r="Z27" s="81">
        <v>30</v>
      </c>
      <c r="AA27" s="81">
        <f t="shared" ca="1" si="11"/>
        <v>718</v>
      </c>
      <c r="AB27" s="93">
        <f>IF(A27&lt;='Dados de entrada'!$B$18,'Dados de entrada'!$B$20,0)</f>
        <v>3000</v>
      </c>
      <c r="AC27" s="93">
        <f>IF(OR(Resumo!$E$23&gt;0,Resumo!$E$28&gt;0,Resumo!$E$33&gt;0),IF(AND(A27&gt;'Dados de entrada'!$B$18,A27&lt;='Dados de entrada'!$B$10),'Dados de entrada'!$B$21,0),IF(AND(A27&gt;'Dados de entrada'!$B$18,A27&lt;='Dados de entrada'!$B$10),'Dados de entrada'!$B$21,IF(A27&lt;='Dados de entrada'!$B$18,X27,0)))</f>
        <v>0</v>
      </c>
      <c r="AD27" s="93">
        <f ca="1">AC27/((1+'Dados de entrada'!$D$22)^($AA27/360))</f>
        <v>0</v>
      </c>
      <c r="AE27" s="93">
        <f>IF(A27&lt;='Dados de entrada'!$B$27,'Dados de entrada'!$B$29,0)</f>
        <v>0</v>
      </c>
      <c r="AF27" s="93">
        <f>IF(AND(A27&gt;'Dados de entrada'!$B$27,A27&lt;='Dados de entrada'!$B$10),'Dados de entrada'!$B$30,0)</f>
        <v>0</v>
      </c>
      <c r="AG27" s="93">
        <f ca="1">AF27/((1+'Dados de entrada'!$D$31)^($AA27/360))</f>
        <v>0</v>
      </c>
      <c r="AH27" s="93">
        <f>IF(A27&lt;='Dados de entrada'!$B$36,'Dados de entrada'!$B$38,0)</f>
        <v>0</v>
      </c>
      <c r="AI27" s="93">
        <f>IF(AND(A27&gt;'Dados de entrada'!$B$36,A27&lt;='Dados de entrada'!$B$10),'Dados de entrada'!$B$39,0)</f>
        <v>0</v>
      </c>
      <c r="AJ27" s="93">
        <f ca="1">AI27/((1+'Dados de entrada'!$D$40)^($AA27/360))</f>
        <v>0</v>
      </c>
      <c r="AK27" s="93">
        <f>IF(A27&lt;='Dados de entrada'!$B$45,'Dados de entrada'!$B$47,0)</f>
        <v>0</v>
      </c>
      <c r="AL27" s="93">
        <f>IF(AND(A27&gt;'Dados de entrada'!$B$45,A27&lt;='Dados de entrada'!$B$10),'Dados de entrada'!$B$48,0)</f>
        <v>0</v>
      </c>
      <c r="AM27" s="93">
        <f ca="1">AL27/((1+'Dados de entrada'!$D$49)^($AA27/360))</f>
        <v>0</v>
      </c>
      <c r="AN27" s="85">
        <f t="shared" si="9"/>
        <v>3000</v>
      </c>
    </row>
    <row r="28" spans="1:40">
      <c r="A28" s="69">
        <f>IF(A27="","",IF(A27+1&lt;='Dados de entrada'!$B$10,A27+1,""))</f>
        <v>25</v>
      </c>
      <c r="B28" s="70">
        <f t="shared" si="2"/>
        <v>46972</v>
      </c>
      <c r="C28" s="69">
        <f t="shared" si="3"/>
        <v>30</v>
      </c>
      <c r="D28" s="71">
        <f ca="1">IF(A28="","",F27*(1+'Dados de entrada'!$B$6)^(C28/30))</f>
        <v>22733.782829290372</v>
      </c>
      <c r="E28" s="71">
        <f ca="1">IF(A28="","",-'Dados de entrada'!$J$20)</f>
        <v>-615.26347669246445</v>
      </c>
      <c r="F28" s="71">
        <f t="shared" ca="1" si="4"/>
        <v>22118.519352597908</v>
      </c>
      <c r="G28" s="71">
        <f t="shared" ca="1" si="5"/>
        <v>56.409428723352903</v>
      </c>
      <c r="H28" s="69">
        <f t="shared" ca="1" si="6"/>
        <v>760</v>
      </c>
      <c r="I28" s="71">
        <f ca="1">IF(A28="","",MIN(H28,365)*G28*'Dados de entrada'!$B$11+G28*'Dados de entrada'!$B$12)</f>
        <v>1.9026900308386934</v>
      </c>
      <c r="J28" s="71">
        <f t="shared" ca="1" si="7"/>
        <v>-3000</v>
      </c>
      <c r="K28" s="71">
        <f t="shared" ca="1" si="8"/>
        <v>-3000</v>
      </c>
      <c r="L28" s="72">
        <f ca="1">IF(A28="","",IF(A28&lt;='Dados de entrada'!$J$2,-V27,-V27*(1-'Dados de entrada'!$J$3)))</f>
        <v>3000</v>
      </c>
      <c r="M28" s="72">
        <f ca="1">IF(A28="","",L28*'Dados de entrada'!$E$4)</f>
        <v>60.599999999999994</v>
      </c>
      <c r="N28" s="72">
        <f ca="1">IF(A28="","",IF(A28&lt;='Dados de entrada'!$E$2,'Dados de entrada'!$E$13*'Dados de entrada'!$E$10/'Dados de entrada'!$B$10,'Dados de entrada'!$E$13*'Dados de entrada'!$E$10/'Dados de entrada'!$B$10*(1-'Dados de entrada'!$E$3)))</f>
        <v>0</v>
      </c>
      <c r="O28" s="71">
        <f ca="1">IF(A28="","",IF(AND(A28='Dados de entrada'!$E$2),(O27*(1+'Dados de entrada'!$B$6)-L28)*(1-'Dados de entrada'!$E$3),IF(AND(A28&lt;&gt;'Dados de entrada'!$A$2),O27*(1+'Dados de entrada'!$B$6)^(C28/30)-L28,"")))</f>
        <v>107849.01196233538</v>
      </c>
      <c r="P28" s="71">
        <f ca="1">IF(A28="","",(O27*((1+'Dados de entrada'!$B$6)^(-DAYS360(B28,B27)/30)-1)-O27*((1+'Dados de entrada'!$H$10)^(-DAYS360(B28,B27)/360)-1))*4.65%)</f>
        <v>98.400584304775023</v>
      </c>
      <c r="Q28" s="75">
        <f ca="1">IF(E28&lt;&gt;"",'Dados de entrada'!$H$5-E28*'Dados de entrada'!$H$6,"")</f>
        <v>0</v>
      </c>
      <c r="R28" s="71">
        <f ca="1">IF(A28="","",IF(A28='Dados de entrada'!$E$2,PV('Dados de entrada'!$B$6,'Dados de entrada'!$B$10-'Dados de entrada'!$E$2+1,+L28*(-'Dados de entrada'!$E$3),,1)+L28*(1-'Dados de entrada'!$E$3)-M28-N28-P28-Q28,L28-M28-N28-P28-Q28))</f>
        <v>2840.9994156952253</v>
      </c>
      <c r="S28" s="74">
        <f t="shared" ca="1" si="0"/>
        <v>760</v>
      </c>
      <c r="T28" s="67">
        <f ca="1">IF(E28&lt;&gt;"",(-E28)/((1+'Dados de entrada'!$B$6)^(S28/30)),"")</f>
        <v>327.5074214906482</v>
      </c>
      <c r="U28" s="67">
        <f t="shared" ca="1" si="1"/>
        <v>248905.64033289262</v>
      </c>
      <c r="V28" s="71">
        <f ca="1">IF(F28="","",-'Dados de entrada'!$B$2)</f>
        <v>-3000</v>
      </c>
      <c r="X28" s="93">
        <f>+Resumo!$E$12-Resumo!$E$20</f>
        <v>0</v>
      </c>
      <c r="Y28" s="116">
        <f t="shared" si="10"/>
        <v>46972</v>
      </c>
      <c r="Z28" s="81">
        <v>30</v>
      </c>
      <c r="AA28" s="81">
        <f t="shared" ca="1" si="11"/>
        <v>748</v>
      </c>
      <c r="AB28" s="93">
        <f>IF(A28&lt;='Dados de entrada'!$B$18,'Dados de entrada'!$B$20,0)</f>
        <v>3000</v>
      </c>
      <c r="AC28" s="93">
        <f>IF(OR(Resumo!$E$23&gt;0,Resumo!$E$28&gt;0,Resumo!$E$33&gt;0),IF(AND(A28&gt;'Dados de entrada'!$B$18,A28&lt;='Dados de entrada'!$B$10),'Dados de entrada'!$B$21,0),IF(AND(A28&gt;'Dados de entrada'!$B$18,A28&lt;='Dados de entrada'!$B$10),'Dados de entrada'!$B$21,IF(A28&lt;='Dados de entrada'!$B$18,X28,0)))</f>
        <v>0</v>
      </c>
      <c r="AD28" s="93">
        <f ca="1">AC28/((1+'Dados de entrada'!$D$22)^($AA28/360))</f>
        <v>0</v>
      </c>
      <c r="AE28" s="93">
        <f>IF(A28&lt;='Dados de entrada'!$B$27,'Dados de entrada'!$B$29,0)</f>
        <v>0</v>
      </c>
      <c r="AF28" s="93">
        <f>IF(AND(A28&gt;'Dados de entrada'!$B$27,A28&lt;='Dados de entrada'!$B$10),'Dados de entrada'!$B$30,0)</f>
        <v>0</v>
      </c>
      <c r="AG28" s="93">
        <f ca="1">AF28/((1+'Dados de entrada'!$D$31)^($AA28/360))</f>
        <v>0</v>
      </c>
      <c r="AH28" s="93">
        <f>IF(A28&lt;='Dados de entrada'!$B$36,'Dados de entrada'!$B$38,0)</f>
        <v>0</v>
      </c>
      <c r="AI28" s="93">
        <f>IF(AND(A28&gt;'Dados de entrada'!$B$36,A28&lt;='Dados de entrada'!$B$10),'Dados de entrada'!$B$39,0)</f>
        <v>0</v>
      </c>
      <c r="AJ28" s="93">
        <f ca="1">AI28/((1+'Dados de entrada'!$D$40)^($AA28/360))</f>
        <v>0</v>
      </c>
      <c r="AK28" s="93">
        <f>IF(A28&lt;='Dados de entrada'!$B$45,'Dados de entrada'!$B$47,0)</f>
        <v>0</v>
      </c>
      <c r="AL28" s="93">
        <f>IF(AND(A28&gt;'Dados de entrada'!$B$45,A28&lt;='Dados de entrada'!$B$10),'Dados de entrada'!$B$48,0)</f>
        <v>0</v>
      </c>
      <c r="AM28" s="93">
        <f ca="1">AL28/((1+'Dados de entrada'!$D$49)^($AA28/360))</f>
        <v>0</v>
      </c>
      <c r="AN28" s="85">
        <f t="shared" si="9"/>
        <v>3000</v>
      </c>
    </row>
    <row r="29" spans="1:40">
      <c r="A29" s="69">
        <f>IF(A28="","",IF(A28+1&lt;='Dados de entrada'!$B$10,A28+1,""))</f>
        <v>26</v>
      </c>
      <c r="B29" s="70">
        <f t="shared" si="2"/>
        <v>47003</v>
      </c>
      <c r="C29" s="69">
        <f t="shared" si="3"/>
        <v>30</v>
      </c>
      <c r="D29" s="71">
        <f ca="1">IF(A29="","",F28*(1+'Dados de entrada'!$B$6)^(C29/30))</f>
        <v>22675.951766346832</v>
      </c>
      <c r="E29" s="71">
        <f ca="1">IF(A29="","",-'Dados de entrada'!$J$20)</f>
        <v>-615.26347669246445</v>
      </c>
      <c r="F29" s="71">
        <f t="shared" ca="1" si="4"/>
        <v>22060.688289654368</v>
      </c>
      <c r="G29" s="71">
        <f t="shared" ca="1" si="5"/>
        <v>57.831062943540019</v>
      </c>
      <c r="H29" s="69">
        <f t="shared" ca="1" si="6"/>
        <v>791</v>
      </c>
      <c r="I29" s="71">
        <f ca="1">IF(A29="","",MIN(H29,365)*G29*'Dados de entrada'!$B$11+G29*'Dados de entrada'!$B$12)</f>
        <v>1.9506417530856048</v>
      </c>
      <c r="J29" s="71">
        <f t="shared" ca="1" si="7"/>
        <v>-3000</v>
      </c>
      <c r="K29" s="71">
        <f t="shared" ca="1" si="8"/>
        <v>-3000</v>
      </c>
      <c r="L29" s="72">
        <f ca="1">IF(A29="","",IF(A29&lt;='Dados de entrada'!$J$2,-V28,-V28*(1-'Dados de entrada'!$J$3)))</f>
        <v>3000</v>
      </c>
      <c r="M29" s="72">
        <f ca="1">IF(A29="","",L29*'Dados de entrada'!$E$4)</f>
        <v>60.599999999999994</v>
      </c>
      <c r="N29" s="72">
        <f ca="1">IF(A29="","",IF(A29&lt;='Dados de entrada'!$E$2,'Dados de entrada'!$E$13*'Dados de entrada'!$E$10/'Dados de entrada'!$B$10,'Dados de entrada'!$E$13*'Dados de entrada'!$E$10/'Dados de entrada'!$B$10*(1-'Dados de entrada'!$E$3)))</f>
        <v>0</v>
      </c>
      <c r="O29" s="71">
        <f ca="1">IF(A29="","",IF(AND(A29='Dados de entrada'!$E$2),(O28*(1+'Dados de entrada'!$B$6)-L29)*(1-'Dados de entrada'!$E$3),IF(AND(A29&lt;&gt;'Dados de entrada'!$A$2),O28*(1+'Dados de entrada'!$B$6)^(C29/30)-L29,"")))</f>
        <v>107567.03002223505</v>
      </c>
      <c r="P29" s="71">
        <f ca="1">IF(A29="","",(O28*((1+'Dados de entrada'!$B$6)^(-DAYS360(B29,B28)/30)-1)-O28*((1+'Dados de entrada'!$H$10)^(-DAYS360(B29,B28)/360)-1))*4.65%)</f>
        <v>98.150269149248913</v>
      </c>
      <c r="Q29" s="75">
        <f ca="1">IF(E29&lt;&gt;"",'Dados de entrada'!$H$5-E29*'Dados de entrada'!$H$6,"")</f>
        <v>0</v>
      </c>
      <c r="R29" s="71">
        <f ca="1">IF(A29="","",IF(A29='Dados de entrada'!$E$2,PV('Dados de entrada'!$B$6,'Dados de entrada'!$B$10-'Dados de entrada'!$E$2+1,+L29*(-'Dados de entrada'!$E$3),,1)+L29*(1-'Dados de entrada'!$E$3)-M29-N29-P29-Q29,L29-M29-N29-P29-Q29))</f>
        <v>2841.2497308507513</v>
      </c>
      <c r="S29" s="74">
        <f t="shared" ca="1" si="0"/>
        <v>791</v>
      </c>
      <c r="T29" s="67">
        <f ca="1">IF(E29&lt;&gt;"",(-E29)/((1+'Dados de entrada'!$B$6)^(S29/30)),"")</f>
        <v>319.19152871654518</v>
      </c>
      <c r="U29" s="67">
        <f t="shared" ca="1" si="1"/>
        <v>252480.49921478724</v>
      </c>
      <c r="V29" s="71">
        <f ca="1">IF(F29="","",-'Dados de entrada'!$B$2)</f>
        <v>-3000</v>
      </c>
      <c r="X29" s="93">
        <f>+Resumo!$E$12-Resumo!$E$20</f>
        <v>0</v>
      </c>
      <c r="Y29" s="116">
        <f t="shared" si="10"/>
        <v>47003</v>
      </c>
      <c r="Z29" s="81">
        <v>30</v>
      </c>
      <c r="AA29" s="81">
        <f t="shared" ca="1" si="11"/>
        <v>778</v>
      </c>
      <c r="AB29" s="93">
        <f>IF(A29&lt;='Dados de entrada'!$B$18,'Dados de entrada'!$B$20,0)</f>
        <v>3000</v>
      </c>
      <c r="AC29" s="93">
        <f>IF(OR(Resumo!$E$23&gt;0,Resumo!$E$28&gt;0,Resumo!$E$33&gt;0),IF(AND(A29&gt;'Dados de entrada'!$B$18,A29&lt;='Dados de entrada'!$B$10),'Dados de entrada'!$B$21,0),IF(AND(A29&gt;'Dados de entrada'!$B$18,A29&lt;='Dados de entrada'!$B$10),'Dados de entrada'!$B$21,IF(A29&lt;='Dados de entrada'!$B$18,X29,0)))</f>
        <v>0</v>
      </c>
      <c r="AD29" s="93">
        <f ca="1">AC29/((1+'Dados de entrada'!$D$22)^($AA29/360))</f>
        <v>0</v>
      </c>
      <c r="AE29" s="93">
        <f>IF(A29&lt;='Dados de entrada'!$B$27,'Dados de entrada'!$B$29,0)</f>
        <v>0</v>
      </c>
      <c r="AF29" s="93">
        <f>IF(AND(A29&gt;'Dados de entrada'!$B$27,A29&lt;='Dados de entrada'!$B$10),'Dados de entrada'!$B$30,0)</f>
        <v>0</v>
      </c>
      <c r="AG29" s="93">
        <f ca="1">AF29/((1+'Dados de entrada'!$D$31)^($AA29/360))</f>
        <v>0</v>
      </c>
      <c r="AH29" s="93">
        <f>IF(A29&lt;='Dados de entrada'!$B$36,'Dados de entrada'!$B$38,0)</f>
        <v>0</v>
      </c>
      <c r="AI29" s="93">
        <f>IF(AND(A29&gt;'Dados de entrada'!$B$36,A29&lt;='Dados de entrada'!$B$10),'Dados de entrada'!$B$39,0)</f>
        <v>0</v>
      </c>
      <c r="AJ29" s="93">
        <f ca="1">AI29/((1+'Dados de entrada'!$D$40)^($AA29/360))</f>
        <v>0</v>
      </c>
      <c r="AK29" s="93">
        <f>IF(A29&lt;='Dados de entrada'!$B$45,'Dados de entrada'!$B$47,0)</f>
        <v>0</v>
      </c>
      <c r="AL29" s="93">
        <f>IF(AND(A29&gt;'Dados de entrada'!$B$45,A29&lt;='Dados de entrada'!$B$10),'Dados de entrada'!$B$48,0)</f>
        <v>0</v>
      </c>
      <c r="AM29" s="93">
        <f ca="1">AL29/((1+'Dados de entrada'!$D$49)^($AA29/360))</f>
        <v>0</v>
      </c>
      <c r="AN29" s="85">
        <f t="shared" si="9"/>
        <v>3000</v>
      </c>
    </row>
    <row r="30" spans="1:40">
      <c r="A30" s="69">
        <f>IF(A29="","",IF(A29+1&lt;='Dados de entrada'!$B$10,A29+1,""))</f>
        <v>27</v>
      </c>
      <c r="B30" s="70">
        <f t="shared" si="2"/>
        <v>47033</v>
      </c>
      <c r="C30" s="69">
        <f t="shared" si="3"/>
        <v>30</v>
      </c>
      <c r="D30" s="71">
        <f ca="1">IF(A30="","",F29*(1+'Dados de entrada'!$B$6)^(C30/30))</f>
        <v>22616.663241061789</v>
      </c>
      <c r="E30" s="71">
        <f ca="1">IF(A30="","",-'Dados de entrada'!$J$20)</f>
        <v>-615.26347669246445</v>
      </c>
      <c r="F30" s="71">
        <f t="shared" ca="1" si="4"/>
        <v>22001.399764369326</v>
      </c>
      <c r="G30" s="71">
        <f t="shared" ca="1" si="5"/>
        <v>59.288525285042851</v>
      </c>
      <c r="H30" s="69">
        <f t="shared" ca="1" si="6"/>
        <v>821</v>
      </c>
      <c r="I30" s="71">
        <f ca="1">IF(A30="","",MIN(H30,365)*G30*'Dados de entrada'!$B$11+G30*'Dados de entrada'!$B$12)</f>
        <v>1.9998019578644954</v>
      </c>
      <c r="J30" s="71">
        <f t="shared" ca="1" si="7"/>
        <v>-3000</v>
      </c>
      <c r="K30" s="71">
        <f t="shared" ca="1" si="8"/>
        <v>-3000</v>
      </c>
      <c r="L30" s="72">
        <f ca="1">IF(A30="","",IF(A30&lt;='Dados de entrada'!$J$2,-V29,-V29*(1-'Dados de entrada'!$J$3)))</f>
        <v>3000</v>
      </c>
      <c r="M30" s="72">
        <f ca="1">IF(A30="","",L30*'Dados de entrada'!$E$4)</f>
        <v>60.599999999999994</v>
      </c>
      <c r="N30" s="72">
        <f ca="1">IF(A30="","",IF(A30&lt;='Dados de entrada'!$E$2,'Dados de entrada'!$E$13*'Dados de entrada'!$E$10/'Dados de entrada'!$B$10,'Dados de entrada'!$E$13*'Dados de entrada'!$E$10/'Dados de entrada'!$B$10*(1-'Dados de entrada'!$E$3)))</f>
        <v>0</v>
      </c>
      <c r="O30" s="71">
        <f ca="1">IF(A30="","",IF(AND(A30='Dados de entrada'!$E$2),(O29*(1+'Dados de entrada'!$B$6)-L30)*(1-'Dados de entrada'!$E$3),IF(AND(A30&lt;&gt;'Dados de entrada'!$A$2),O29*(1+'Dados de entrada'!$B$6)^(C30/30)-L30,"")))</f>
        <v>107277.9415542972</v>
      </c>
      <c r="P30" s="71">
        <f ca="1">IF(A30="","",(O29*((1+'Dados de entrada'!$B$6)^(-DAYS360(B30,B29)/30)-1)-O29*((1+'Dados de entrada'!$H$10)^(-DAYS360(B30,B29)/360)-1))*4.65%)</f>
        <v>97.893645534321934</v>
      </c>
      <c r="Q30" s="75">
        <f ca="1">IF(E30&lt;&gt;"",'Dados de entrada'!$H$5-E30*'Dados de entrada'!$H$6,"")</f>
        <v>0</v>
      </c>
      <c r="R30" s="71">
        <f ca="1">IF(A30="","",IF(A30='Dados de entrada'!$E$2,PV('Dados de entrada'!$B$6,'Dados de entrada'!$B$10-'Dados de entrada'!$E$2+1,+L30*(-'Dados de entrada'!$E$3),,1)+L30*(1-'Dados de entrada'!$E$3)-M30-N30-P30-Q30,L30-M30-N30-P30-Q30))</f>
        <v>2841.5063544656782</v>
      </c>
      <c r="S30" s="74">
        <f t="shared" ca="1" si="0"/>
        <v>821</v>
      </c>
      <c r="T30" s="67">
        <f ca="1">IF(E30&lt;&gt;"",(-E30)/((1+'Dados de entrada'!$B$6)^(S30/30)),"")</f>
        <v>311.34499128631768</v>
      </c>
      <c r="U30" s="67">
        <f t="shared" ca="1" si="1"/>
        <v>255614.23784606683</v>
      </c>
      <c r="V30" s="71">
        <f ca="1">IF(F30="","",-'Dados de entrada'!$B$2)</f>
        <v>-3000</v>
      </c>
      <c r="X30" s="93">
        <f>+Resumo!$E$12-Resumo!$E$20</f>
        <v>0</v>
      </c>
      <c r="Y30" s="116">
        <f t="shared" si="10"/>
        <v>47033</v>
      </c>
      <c r="Z30" s="81">
        <v>30</v>
      </c>
      <c r="AA30" s="81">
        <f t="shared" ca="1" si="11"/>
        <v>808</v>
      </c>
      <c r="AB30" s="93">
        <f>IF(A30&lt;='Dados de entrada'!$B$18,'Dados de entrada'!$B$20,0)</f>
        <v>3000</v>
      </c>
      <c r="AC30" s="93">
        <f>IF(OR(Resumo!$E$23&gt;0,Resumo!$E$28&gt;0,Resumo!$E$33&gt;0),IF(AND(A30&gt;'Dados de entrada'!$B$18,A30&lt;='Dados de entrada'!$B$10),'Dados de entrada'!$B$21,0),IF(AND(A30&gt;'Dados de entrada'!$B$18,A30&lt;='Dados de entrada'!$B$10),'Dados de entrada'!$B$21,IF(A30&lt;='Dados de entrada'!$B$18,X30,0)))</f>
        <v>0</v>
      </c>
      <c r="AD30" s="93">
        <f ca="1">AC30/((1+'Dados de entrada'!$D$22)^($AA30/360))</f>
        <v>0</v>
      </c>
      <c r="AE30" s="93">
        <f>IF(A30&lt;='Dados de entrada'!$B$27,'Dados de entrada'!$B$29,0)</f>
        <v>0</v>
      </c>
      <c r="AF30" s="93">
        <f>IF(AND(A30&gt;'Dados de entrada'!$B$27,A30&lt;='Dados de entrada'!$B$10),'Dados de entrada'!$B$30,0)</f>
        <v>0</v>
      </c>
      <c r="AG30" s="93">
        <f ca="1">AF30/((1+'Dados de entrada'!$D$31)^($AA30/360))</f>
        <v>0</v>
      </c>
      <c r="AH30" s="93">
        <f>IF(A30&lt;='Dados de entrada'!$B$36,'Dados de entrada'!$B$38,0)</f>
        <v>0</v>
      </c>
      <c r="AI30" s="93">
        <f>IF(AND(A30&gt;'Dados de entrada'!$B$36,A30&lt;='Dados de entrada'!$B$10),'Dados de entrada'!$B$39,0)</f>
        <v>0</v>
      </c>
      <c r="AJ30" s="93">
        <f ca="1">AI30/((1+'Dados de entrada'!$D$40)^($AA30/360))</f>
        <v>0</v>
      </c>
      <c r="AK30" s="93">
        <f>IF(A30&lt;='Dados de entrada'!$B$45,'Dados de entrada'!$B$47,0)</f>
        <v>0</v>
      </c>
      <c r="AL30" s="93">
        <f>IF(AND(A30&gt;'Dados de entrada'!$B$45,A30&lt;='Dados de entrada'!$B$10),'Dados de entrada'!$B$48,0)</f>
        <v>0</v>
      </c>
      <c r="AM30" s="93">
        <f ca="1">AL30/((1+'Dados de entrada'!$D$49)^($AA30/360))</f>
        <v>0</v>
      </c>
      <c r="AN30" s="85">
        <f t="shared" si="9"/>
        <v>3000</v>
      </c>
    </row>
    <row r="31" spans="1:40">
      <c r="A31" s="69">
        <f>IF(A30="","",IF(A30+1&lt;='Dados de entrada'!$B$10,A30+1,""))</f>
        <v>28</v>
      </c>
      <c r="B31" s="70">
        <f t="shared" si="2"/>
        <v>47064</v>
      </c>
      <c r="C31" s="69">
        <f t="shared" si="3"/>
        <v>30</v>
      </c>
      <c r="D31" s="71">
        <f ca="1">IF(A31="","",F30*(1+'Dados de entrada'!$B$6)^(C31/30))</f>
        <v>22555.880522371193</v>
      </c>
      <c r="E31" s="71">
        <f ca="1">IF(A31="","",-'Dados de entrada'!$J$20)</f>
        <v>-615.26347669246445</v>
      </c>
      <c r="F31" s="71">
        <f t="shared" ca="1" si="4"/>
        <v>21940.617045678729</v>
      </c>
      <c r="G31" s="71">
        <f t="shared" ca="1" si="5"/>
        <v>60.782718690596084</v>
      </c>
      <c r="H31" s="69">
        <f t="shared" ca="1" si="6"/>
        <v>852</v>
      </c>
      <c r="I31" s="71">
        <f ca="1">IF(A31="","",MIN(H31,365)*G31*'Dados de entrada'!$B$11+G31*'Dados de entrada'!$B$12)</f>
        <v>2.0502011014338057</v>
      </c>
      <c r="J31" s="71">
        <f t="shared" ca="1" si="7"/>
        <v>-3000</v>
      </c>
      <c r="K31" s="71">
        <f t="shared" ca="1" si="8"/>
        <v>-3000</v>
      </c>
      <c r="L31" s="72">
        <f ca="1">IF(A31="","",IF(A31&lt;='Dados de entrada'!$J$2,-V30,-V30*(1-'Dados de entrada'!$J$3)))</f>
        <v>3000</v>
      </c>
      <c r="M31" s="72">
        <f ca="1">IF(A31="","",L31*'Dados de entrada'!$E$4)</f>
        <v>60.599999999999994</v>
      </c>
      <c r="N31" s="72">
        <f ca="1">IF(A31="","",IF(A31&lt;='Dados de entrada'!$E$2,'Dados de entrada'!$E$13*'Dados de entrada'!$E$10/'Dados de entrada'!$B$10,'Dados de entrada'!$E$13*'Dados de entrada'!$E$10/'Dados de entrada'!$B$10*(1-'Dados de entrada'!$E$3)))</f>
        <v>0</v>
      </c>
      <c r="O31" s="71">
        <f ca="1">IF(A31="","",IF(AND(A31='Dados de entrada'!$E$2),(O30*(1+'Dados de entrada'!$B$6)-L31)*(1-'Dados de entrada'!$E$3),IF(AND(A31&lt;&gt;'Dados de entrada'!$A$2),O30*(1+'Dados de entrada'!$B$6)^(C31/30)-L31,"")))</f>
        <v>106981.56745932887</v>
      </c>
      <c r="P31" s="71">
        <f ca="1">IF(A31="","",(O30*((1+'Dados de entrada'!$B$6)^(-DAYS360(B31,B30)/30)-1)-O30*((1+'Dados de entrada'!$H$10)^(-DAYS360(B31,B30)/360)-1))*4.65%)</f>
        <v>97.630554473775618</v>
      </c>
      <c r="Q31" s="75">
        <f ca="1">IF(E31&lt;&gt;"",'Dados de entrada'!$H$5-E31*'Dados de entrada'!$H$6,"")</f>
        <v>0</v>
      </c>
      <c r="R31" s="71">
        <f ca="1">IF(A31="","",IF(A31='Dados de entrada'!$E$2,PV('Dados de entrada'!$B$6,'Dados de entrada'!$B$10-'Dados de entrada'!$E$2+1,+L31*(-'Dados de entrada'!$E$3),,1)+L31*(1-'Dados de entrada'!$E$3)-M31-N31-P31-Q31,L31-M31-N31-P31-Q31))</f>
        <v>2841.7694455262244</v>
      </c>
      <c r="S31" s="74">
        <f t="shared" ca="1" si="0"/>
        <v>852</v>
      </c>
      <c r="T31" s="67">
        <f ca="1">IF(E31&lt;&gt;"",(-E31)/((1+'Dados de entrada'!$B$6)^(S31/30)),"")</f>
        <v>303.43948627056346</v>
      </c>
      <c r="U31" s="67">
        <f t="shared" ca="1" si="1"/>
        <v>258530.44230252007</v>
      </c>
      <c r="V31" s="71">
        <f ca="1">IF(F31="","",-'Dados de entrada'!$B$2)</f>
        <v>-3000</v>
      </c>
      <c r="X31" s="93">
        <f>+Resumo!$E$12-Resumo!$E$20</f>
        <v>0</v>
      </c>
      <c r="Y31" s="116">
        <f t="shared" si="10"/>
        <v>47064</v>
      </c>
      <c r="Z31" s="81">
        <v>30</v>
      </c>
      <c r="AA31" s="81">
        <f t="shared" ca="1" si="11"/>
        <v>838</v>
      </c>
      <c r="AB31" s="93">
        <f>IF(A31&lt;='Dados de entrada'!$B$18,'Dados de entrada'!$B$20,0)</f>
        <v>3000</v>
      </c>
      <c r="AC31" s="93">
        <f>IF(OR(Resumo!$E$23&gt;0,Resumo!$E$28&gt;0,Resumo!$E$33&gt;0),IF(AND(A31&gt;'Dados de entrada'!$B$18,A31&lt;='Dados de entrada'!$B$10),'Dados de entrada'!$B$21,0),IF(AND(A31&gt;'Dados de entrada'!$B$18,A31&lt;='Dados de entrada'!$B$10),'Dados de entrada'!$B$21,IF(A31&lt;='Dados de entrada'!$B$18,X31,0)))</f>
        <v>0</v>
      </c>
      <c r="AD31" s="93">
        <f ca="1">AC31/((1+'Dados de entrada'!$D$22)^($AA31/360))</f>
        <v>0</v>
      </c>
      <c r="AE31" s="93">
        <f>IF(A31&lt;='Dados de entrada'!$B$27,'Dados de entrada'!$B$29,0)</f>
        <v>0</v>
      </c>
      <c r="AF31" s="93">
        <f>IF(AND(A31&gt;'Dados de entrada'!$B$27,A31&lt;='Dados de entrada'!$B$10),'Dados de entrada'!$B$30,0)</f>
        <v>0</v>
      </c>
      <c r="AG31" s="93">
        <f ca="1">AF31/((1+'Dados de entrada'!$D$31)^($AA31/360))</f>
        <v>0</v>
      </c>
      <c r="AH31" s="93">
        <f>IF(A31&lt;='Dados de entrada'!$B$36,'Dados de entrada'!$B$38,0)</f>
        <v>0</v>
      </c>
      <c r="AI31" s="93">
        <f>IF(AND(A31&gt;'Dados de entrada'!$B$36,A31&lt;='Dados de entrada'!$B$10),'Dados de entrada'!$B$39,0)</f>
        <v>0</v>
      </c>
      <c r="AJ31" s="93">
        <f ca="1">AI31/((1+'Dados de entrada'!$D$40)^($AA31/360))</f>
        <v>0</v>
      </c>
      <c r="AK31" s="93">
        <f>IF(A31&lt;='Dados de entrada'!$B$45,'Dados de entrada'!$B$47,0)</f>
        <v>0</v>
      </c>
      <c r="AL31" s="93">
        <f>IF(AND(A31&gt;'Dados de entrada'!$B$45,A31&lt;='Dados de entrada'!$B$10),'Dados de entrada'!$B$48,0)</f>
        <v>0</v>
      </c>
      <c r="AM31" s="93">
        <f ca="1">AL31/((1+'Dados de entrada'!$D$49)^($AA31/360))</f>
        <v>0</v>
      </c>
      <c r="AN31" s="85">
        <f t="shared" si="9"/>
        <v>3000</v>
      </c>
    </row>
    <row r="32" spans="1:40">
      <c r="A32" s="69">
        <f>IF(A31="","",IF(A31+1&lt;='Dados de entrada'!$B$10,A31+1,""))</f>
        <v>29</v>
      </c>
      <c r="B32" s="70">
        <f t="shared" si="2"/>
        <v>47094</v>
      </c>
      <c r="C32" s="69">
        <f t="shared" si="3"/>
        <v>30</v>
      </c>
      <c r="D32" s="71">
        <f ca="1">IF(A32="","",F31*(1+'Dados de entrada'!$B$6)^(C32/30))</f>
        <v>22493.565953512247</v>
      </c>
      <c r="E32" s="71">
        <f ca="1">IF(A32="","",-'Dados de entrada'!$J$20)</f>
        <v>-615.26347669246445</v>
      </c>
      <c r="F32" s="71">
        <f t="shared" ca="1" si="4"/>
        <v>21878.302476819783</v>
      </c>
      <c r="G32" s="71">
        <f t="shared" ca="1" si="5"/>
        <v>62.314568858946586</v>
      </c>
      <c r="H32" s="69">
        <f t="shared" ca="1" si="6"/>
        <v>882</v>
      </c>
      <c r="I32" s="71">
        <f ca="1">IF(A32="","",MIN(H32,365)*G32*'Dados de entrada'!$B$11+G32*'Dados de entrada'!$B$12)</f>
        <v>2.1018704076122683</v>
      </c>
      <c r="J32" s="71">
        <f t="shared" ca="1" si="7"/>
        <v>-3000</v>
      </c>
      <c r="K32" s="71">
        <f t="shared" ca="1" si="8"/>
        <v>-3000</v>
      </c>
      <c r="L32" s="72">
        <f ca="1">IF(A32="","",IF(A32&lt;='Dados de entrada'!$J$2,-V31,-V31*(1-'Dados de entrada'!$J$3)))</f>
        <v>3000</v>
      </c>
      <c r="M32" s="72">
        <f ca="1">IF(A32="","",L32*'Dados de entrada'!$E$4)</f>
        <v>60.599999999999994</v>
      </c>
      <c r="N32" s="72">
        <f ca="1">IF(A32="","",IF(A32&lt;='Dados de entrada'!$E$2,'Dados de entrada'!$E$13*'Dados de entrada'!$E$10/'Dados de entrada'!$B$10,'Dados de entrada'!$E$13*'Dados de entrada'!$E$10/'Dados de entrada'!$B$10*(1-'Dados de entrada'!$E$3)))</f>
        <v>0</v>
      </c>
      <c r="O32" s="71">
        <f ca="1">IF(A32="","",IF(AND(A32='Dados de entrada'!$E$2),(O31*(1+'Dados de entrada'!$B$6)-L32)*(1-'Dados de entrada'!$E$3),IF(AND(A32&lt;&gt;'Dados de entrada'!$A$2),O31*(1+'Dados de entrada'!$B$6)^(C32/30)-L32,"")))</f>
        <v>106677.72412446716</v>
      </c>
      <c r="P32" s="71">
        <f ca="1">IF(A32="","",(O31*((1+'Dados de entrada'!$B$6)^(-DAYS360(B32,B31)/30)-1)-O31*((1+'Dados de entrada'!$H$10)^(-DAYS360(B32,B31)/360)-1))*4.65%)</f>
        <v>97.360832974610048</v>
      </c>
      <c r="Q32" s="75">
        <f ca="1">IF(E32&lt;&gt;"",'Dados de entrada'!$H$5-E32*'Dados de entrada'!$H$6,"")</f>
        <v>0</v>
      </c>
      <c r="R32" s="71">
        <f ca="1">IF(A32="","",IF(A32='Dados de entrada'!$E$2,PV('Dados de entrada'!$B$6,'Dados de entrada'!$B$10-'Dados de entrada'!$E$2+1,+L32*(-'Dados de entrada'!$E$3),,1)+L32*(1-'Dados de entrada'!$E$3)-M32-N32-P32-Q32,L32-M32-N32-P32-Q32))</f>
        <v>2842.0391670253903</v>
      </c>
      <c r="S32" s="74">
        <f t="shared" ca="1" si="0"/>
        <v>882</v>
      </c>
      <c r="T32" s="67">
        <f ca="1">IF(E32&lt;&gt;"",(-E32)/((1+'Dados de entrada'!$B$6)^(S32/30)),"")</f>
        <v>295.98017399995064</v>
      </c>
      <c r="U32" s="67">
        <f t="shared" ca="1" si="1"/>
        <v>261054.51346795645</v>
      </c>
      <c r="V32" s="71">
        <f ca="1">IF(F32="","",-'Dados de entrada'!$B$2)</f>
        <v>-3000</v>
      </c>
      <c r="X32" s="93">
        <f>+Resumo!$E$12-Resumo!$E$20</f>
        <v>0</v>
      </c>
      <c r="Y32" s="116">
        <f t="shared" si="10"/>
        <v>47094</v>
      </c>
      <c r="Z32" s="81">
        <v>30</v>
      </c>
      <c r="AA32" s="81">
        <f t="shared" ca="1" si="11"/>
        <v>868</v>
      </c>
      <c r="AB32" s="93">
        <f>IF(A32&lt;='Dados de entrada'!$B$18,'Dados de entrada'!$B$20,0)</f>
        <v>3000</v>
      </c>
      <c r="AC32" s="93">
        <f>IF(OR(Resumo!$E$23&gt;0,Resumo!$E$28&gt;0,Resumo!$E$33&gt;0),IF(AND(A32&gt;'Dados de entrada'!$B$18,A32&lt;='Dados de entrada'!$B$10),'Dados de entrada'!$B$21,0),IF(AND(A32&gt;'Dados de entrada'!$B$18,A32&lt;='Dados de entrada'!$B$10),'Dados de entrada'!$B$21,IF(A32&lt;='Dados de entrada'!$B$18,X32,0)))</f>
        <v>0</v>
      </c>
      <c r="AD32" s="93">
        <f ca="1">AC32/((1+'Dados de entrada'!$D$22)^($AA32/360))</f>
        <v>0</v>
      </c>
      <c r="AE32" s="93">
        <f>IF(A32&lt;='Dados de entrada'!$B$27,'Dados de entrada'!$B$29,0)</f>
        <v>0</v>
      </c>
      <c r="AF32" s="93">
        <f>IF(AND(A32&gt;'Dados de entrada'!$B$27,A32&lt;='Dados de entrada'!$B$10),'Dados de entrada'!$B$30,0)</f>
        <v>0</v>
      </c>
      <c r="AG32" s="93">
        <f ca="1">AF32/((1+'Dados de entrada'!$D$31)^($AA32/360))</f>
        <v>0</v>
      </c>
      <c r="AH32" s="93">
        <f>IF(A32&lt;='Dados de entrada'!$B$36,'Dados de entrada'!$B$38,0)</f>
        <v>0</v>
      </c>
      <c r="AI32" s="93">
        <f>IF(AND(A32&gt;'Dados de entrada'!$B$36,A32&lt;='Dados de entrada'!$B$10),'Dados de entrada'!$B$39,0)</f>
        <v>0</v>
      </c>
      <c r="AJ32" s="93">
        <f ca="1">AI32/((1+'Dados de entrada'!$D$40)^($AA32/360))</f>
        <v>0</v>
      </c>
      <c r="AK32" s="93">
        <f>IF(A32&lt;='Dados de entrada'!$B$45,'Dados de entrada'!$B$47,0)</f>
        <v>0</v>
      </c>
      <c r="AL32" s="93">
        <f>IF(AND(A32&gt;'Dados de entrada'!$B$45,A32&lt;='Dados de entrada'!$B$10),'Dados de entrada'!$B$48,0)</f>
        <v>0</v>
      </c>
      <c r="AM32" s="93">
        <f ca="1">AL32/((1+'Dados de entrada'!$D$49)^($AA32/360))</f>
        <v>0</v>
      </c>
      <c r="AN32" s="85">
        <f t="shared" si="9"/>
        <v>3000</v>
      </c>
    </row>
    <row r="33" spans="1:40">
      <c r="A33" s="69">
        <f>IF(A32="","",IF(A32+1&lt;='Dados de entrada'!$B$10,A32+1,""))</f>
        <v>30</v>
      </c>
      <c r="B33" s="70">
        <f t="shared" si="2"/>
        <v>47125</v>
      </c>
      <c r="C33" s="69">
        <f t="shared" si="3"/>
        <v>30</v>
      </c>
      <c r="D33" s="71">
        <f ca="1">IF(A33="","",F32*(1+'Dados de entrada'!$B$6)^(C33/30))</f>
        <v>22429.680928693884</v>
      </c>
      <c r="E33" s="71">
        <f ca="1">IF(A33="","",-'Dados de entrada'!$J$20)</f>
        <v>-615.26347669246445</v>
      </c>
      <c r="F33" s="71">
        <f t="shared" ca="1" si="4"/>
        <v>21814.41745200142</v>
      </c>
      <c r="G33" s="71">
        <f t="shared" ca="1" si="5"/>
        <v>63.885024818362581</v>
      </c>
      <c r="H33" s="69">
        <f t="shared" ca="1" si="6"/>
        <v>913</v>
      </c>
      <c r="I33" s="71">
        <f ca="1">IF(A33="","",MIN(H33,365)*G33*'Dados de entrada'!$B$11+G33*'Dados de entrada'!$B$12)</f>
        <v>2.1548418871233697</v>
      </c>
      <c r="J33" s="71">
        <f t="shared" ca="1" si="7"/>
        <v>-3000</v>
      </c>
      <c r="K33" s="71">
        <f t="shared" ca="1" si="8"/>
        <v>-3000</v>
      </c>
      <c r="L33" s="72">
        <f ca="1">IF(A33="","",IF(A33&lt;='Dados de entrada'!$J$2,-V32,-V32*(1-'Dados de entrada'!$J$3)))</f>
        <v>3000</v>
      </c>
      <c r="M33" s="72">
        <f ca="1">IF(A33="","",L33*'Dados de entrada'!$E$4)</f>
        <v>60.599999999999994</v>
      </c>
      <c r="N33" s="72">
        <f ca="1">IF(A33="","",IF(A33&lt;='Dados de entrada'!$E$2,'Dados de entrada'!$E$13*'Dados de entrada'!$E$10/'Dados de entrada'!$B$10,'Dados de entrada'!$E$13*'Dados de entrada'!$E$10/'Dados de entrada'!$B$10*(1-'Dados de entrada'!$E$3)))</f>
        <v>0</v>
      </c>
      <c r="O33" s="71">
        <f ca="1">IF(A33="","",IF(AND(A33='Dados de entrada'!$E$2),(O32*(1+'Dados de entrada'!$B$6)-L33)*(1-'Dados de entrada'!$E$3),IF(AND(A33&lt;&gt;'Dados de entrada'!$A$2),O32*(1+'Dados de entrada'!$B$6)^(C33/30)-L33,"")))</f>
        <v>106366.22330942545</v>
      </c>
      <c r="P33" s="71">
        <f ca="1">IF(A33="","",(O32*((1+'Dados de entrada'!$B$6)^(-DAYS360(B33,B32)/30)-1)-O32*((1+'Dados de entrada'!$H$10)^(-DAYS360(B33,B32)/360)-1))*4.65%)</f>
        <v>97.084313936064788</v>
      </c>
      <c r="Q33" s="75">
        <f ca="1">IF(E33&lt;&gt;"",'Dados de entrada'!$H$5-E33*'Dados de entrada'!$H$6,"")</f>
        <v>0</v>
      </c>
      <c r="R33" s="71">
        <f ca="1">IF(A33="","",IF(A33='Dados de entrada'!$E$2,PV('Dados de entrada'!$B$6,'Dados de entrada'!$B$10-'Dados de entrada'!$E$2+1,+L33*(-'Dados de entrada'!$E$3),,1)+L33*(1-'Dados de entrada'!$E$3)-M33-N33-P33-Q33,L33-M33-N33-P33-Q33))</f>
        <v>2842.3156860639351</v>
      </c>
      <c r="S33" s="74">
        <f t="shared" ca="1" si="0"/>
        <v>913</v>
      </c>
      <c r="T33" s="67">
        <f ca="1">IF(E33&lt;&gt;"",(-E33)/((1+'Dados de entrada'!$B$6)^(S33/30)),"")</f>
        <v>288.46480418316548</v>
      </c>
      <c r="U33" s="67">
        <f t="shared" ca="1" si="1"/>
        <v>263368.36621923011</v>
      </c>
      <c r="V33" s="71">
        <f ca="1">IF(F33="","",-'Dados de entrada'!$B$2)</f>
        <v>-3000</v>
      </c>
      <c r="X33" s="93">
        <f>+Resumo!$E$12-Resumo!$E$20</f>
        <v>0</v>
      </c>
      <c r="Y33" s="116">
        <f t="shared" si="10"/>
        <v>47125</v>
      </c>
      <c r="Z33" s="81">
        <v>30</v>
      </c>
      <c r="AA33" s="81">
        <f t="shared" ca="1" si="11"/>
        <v>898</v>
      </c>
      <c r="AB33" s="93">
        <f>IF(A33&lt;='Dados de entrada'!$B$18,'Dados de entrada'!$B$20,0)</f>
        <v>3000</v>
      </c>
      <c r="AC33" s="93">
        <f>IF(OR(Resumo!$E$23&gt;0,Resumo!$E$28&gt;0,Resumo!$E$33&gt;0),IF(AND(A33&gt;'Dados de entrada'!$B$18,A33&lt;='Dados de entrada'!$B$10),'Dados de entrada'!$B$21,0),IF(AND(A33&gt;'Dados de entrada'!$B$18,A33&lt;='Dados de entrada'!$B$10),'Dados de entrada'!$B$21,IF(A33&lt;='Dados de entrada'!$B$18,X33,0)))</f>
        <v>0</v>
      </c>
      <c r="AD33" s="93">
        <f ca="1">AC33/((1+'Dados de entrada'!$D$22)^($AA33/360))</f>
        <v>0</v>
      </c>
      <c r="AE33" s="93">
        <f>IF(A33&lt;='Dados de entrada'!$B$27,'Dados de entrada'!$B$29,0)</f>
        <v>0</v>
      </c>
      <c r="AF33" s="93">
        <f>IF(AND(A33&gt;'Dados de entrada'!$B$27,A33&lt;='Dados de entrada'!$B$10),'Dados de entrada'!$B$30,0)</f>
        <v>0</v>
      </c>
      <c r="AG33" s="93">
        <f ca="1">AF33/((1+'Dados de entrada'!$D$31)^($AA33/360))</f>
        <v>0</v>
      </c>
      <c r="AH33" s="93">
        <f>IF(A33&lt;='Dados de entrada'!$B$36,'Dados de entrada'!$B$38,0)</f>
        <v>0</v>
      </c>
      <c r="AI33" s="93">
        <f>IF(AND(A33&gt;'Dados de entrada'!$B$36,A33&lt;='Dados de entrada'!$B$10),'Dados de entrada'!$B$39,0)</f>
        <v>0</v>
      </c>
      <c r="AJ33" s="93">
        <f ca="1">AI33/((1+'Dados de entrada'!$D$40)^($AA33/360))</f>
        <v>0</v>
      </c>
      <c r="AK33" s="93">
        <f>IF(A33&lt;='Dados de entrada'!$B$45,'Dados de entrada'!$B$47,0)</f>
        <v>0</v>
      </c>
      <c r="AL33" s="93">
        <f>IF(AND(A33&gt;'Dados de entrada'!$B$45,A33&lt;='Dados de entrada'!$B$10),'Dados de entrada'!$B$48,0)</f>
        <v>0</v>
      </c>
      <c r="AM33" s="93">
        <f ca="1">AL33/((1+'Dados de entrada'!$D$49)^($AA33/360))</f>
        <v>0</v>
      </c>
      <c r="AN33" s="85">
        <f t="shared" si="9"/>
        <v>3000</v>
      </c>
    </row>
    <row r="34" spans="1:40">
      <c r="A34" s="69">
        <f>IF(A33="","",IF(A33+1&lt;='Dados de entrada'!$B$10,A33+1,""))</f>
        <v>31</v>
      </c>
      <c r="B34" s="70">
        <f t="shared" si="2"/>
        <v>47156</v>
      </c>
      <c r="C34" s="69">
        <f t="shared" si="3"/>
        <v>30</v>
      </c>
      <c r="D34" s="71">
        <f ca="1">IF(A34="","",F33*(1+'Dados de entrada'!$B$6)^(C34/30))</f>
        <v>22364.185869179291</v>
      </c>
      <c r="E34" s="71">
        <f ca="1">IF(A34="","",-'Dados de entrada'!$J$20)</f>
        <v>-615.26347669246445</v>
      </c>
      <c r="F34" s="71">
        <f t="shared" ca="1" si="4"/>
        <v>21748.922392486827</v>
      </c>
      <c r="G34" s="71">
        <f t="shared" ca="1" si="5"/>
        <v>65.495059514592867</v>
      </c>
      <c r="H34" s="69">
        <f t="shared" ca="1" si="6"/>
        <v>944</v>
      </c>
      <c r="I34" s="71">
        <f ca="1">IF(A34="","",MIN(H34,365)*G34*'Dados de entrada'!$B$11+G34*'Dados de entrada'!$B$12)</f>
        <v>2.2091483574272175</v>
      </c>
      <c r="J34" s="71">
        <f t="shared" ca="1" si="7"/>
        <v>-3000</v>
      </c>
      <c r="K34" s="71">
        <f t="shared" ca="1" si="8"/>
        <v>-3000</v>
      </c>
      <c r="L34" s="72">
        <f ca="1">IF(A34="","",IF(A34&lt;='Dados de entrada'!$J$2,-V33,-V33*(1-'Dados de entrada'!$J$3)))</f>
        <v>3000</v>
      </c>
      <c r="M34" s="72">
        <f ca="1">IF(A34="","",L34*'Dados de entrada'!$E$4)</f>
        <v>60.599999999999994</v>
      </c>
      <c r="N34" s="72">
        <f ca="1">IF(A34="","",IF(A34&lt;='Dados de entrada'!$E$2,'Dados de entrada'!$E$13*'Dados de entrada'!$E$10/'Dados de entrada'!$B$10,'Dados de entrada'!$E$13*'Dados de entrada'!$E$10/'Dados de entrada'!$B$10*(1-'Dados de entrada'!$E$3)))</f>
        <v>0</v>
      </c>
      <c r="O34" s="71">
        <f ca="1">IF(A34="","",IF(AND(A34='Dados de entrada'!$E$2),(O33*(1+'Dados de entrada'!$B$6)-L34)*(1-'Dados de entrada'!$E$3),IF(AND(A34&lt;&gt;'Dados de entrada'!$A$2),O33*(1+'Dados de entrada'!$B$6)^(C34/30)-L34,"")))</f>
        <v>106046.87202987274</v>
      </c>
      <c r="P34" s="71">
        <f ca="1">IF(A34="","",(O33*((1+'Dados de entrada'!$B$6)^(-DAYS360(B34,B33)/30)-1)-O33*((1+'Dados de entrada'!$H$10)^(-DAYS360(B34,B33)/360)-1))*4.65%)</f>
        <v>96.800826046094755</v>
      </c>
      <c r="Q34" s="75">
        <f ca="1">IF(E34&lt;&gt;"",'Dados de entrada'!$H$5-E34*'Dados de entrada'!$H$6,"")</f>
        <v>0</v>
      </c>
      <c r="R34" s="71">
        <f ca="1">IF(A34="","",IF(A34='Dados de entrada'!$E$2,PV('Dados de entrada'!$B$6,'Dados de entrada'!$B$10-'Dados de entrada'!$E$2+1,+L34*(-'Dados de entrada'!$E$3),,1)+L34*(1-'Dados de entrada'!$E$3)-M34-N34-P34-Q34,L34-M34-N34-P34-Q34))</f>
        <v>2842.5991739539054</v>
      </c>
      <c r="S34" s="74">
        <f t="shared" ca="1" si="0"/>
        <v>944</v>
      </c>
      <c r="T34" s="67">
        <f ca="1">IF(E34&lt;&gt;"",(-E34)/((1+'Dados de entrada'!$B$6)^(S34/30)),"")</f>
        <v>281.14026060558331</v>
      </c>
      <c r="U34" s="67">
        <f t="shared" ca="1" si="1"/>
        <v>265396.40601167065</v>
      </c>
      <c r="V34" s="71">
        <f ca="1">IF(F34="","",-'Dados de entrada'!$B$2)</f>
        <v>-3000</v>
      </c>
      <c r="X34" s="93">
        <f>+Resumo!$E$12-Resumo!$E$20</f>
        <v>0</v>
      </c>
      <c r="Y34" s="116">
        <f t="shared" si="10"/>
        <v>47156</v>
      </c>
      <c r="Z34" s="81">
        <v>30</v>
      </c>
      <c r="AA34" s="81">
        <f t="shared" ca="1" si="11"/>
        <v>928</v>
      </c>
      <c r="AB34" s="93">
        <f>IF(A34&lt;='Dados de entrada'!$B$18,'Dados de entrada'!$B$20,0)</f>
        <v>3000</v>
      </c>
      <c r="AC34" s="93">
        <f>IF(OR(Resumo!$E$23&gt;0,Resumo!$E$28&gt;0,Resumo!$E$33&gt;0),IF(AND(A34&gt;'Dados de entrada'!$B$18,A34&lt;='Dados de entrada'!$B$10),'Dados de entrada'!$B$21,0),IF(AND(A34&gt;'Dados de entrada'!$B$18,A34&lt;='Dados de entrada'!$B$10),'Dados de entrada'!$B$21,IF(A34&lt;='Dados de entrada'!$B$18,X34,0)))</f>
        <v>0</v>
      </c>
      <c r="AD34" s="93">
        <f ca="1">AC34/((1+'Dados de entrada'!$D$22)^($AA34/360))</f>
        <v>0</v>
      </c>
      <c r="AE34" s="93">
        <f>IF(A34&lt;='Dados de entrada'!$B$27,'Dados de entrada'!$B$29,0)</f>
        <v>0</v>
      </c>
      <c r="AF34" s="93">
        <f>IF(AND(A34&gt;'Dados de entrada'!$B$27,A34&lt;='Dados de entrada'!$B$10),'Dados de entrada'!$B$30,0)</f>
        <v>0</v>
      </c>
      <c r="AG34" s="93">
        <f ca="1">AF34/((1+'Dados de entrada'!$D$31)^($AA34/360))</f>
        <v>0</v>
      </c>
      <c r="AH34" s="93">
        <f>IF(A34&lt;='Dados de entrada'!$B$36,'Dados de entrada'!$B$38,0)</f>
        <v>0</v>
      </c>
      <c r="AI34" s="93">
        <f>IF(AND(A34&gt;'Dados de entrada'!$B$36,A34&lt;='Dados de entrada'!$B$10),'Dados de entrada'!$B$39,0)</f>
        <v>0</v>
      </c>
      <c r="AJ34" s="93">
        <f ca="1">AI34/((1+'Dados de entrada'!$D$40)^($AA34/360))</f>
        <v>0</v>
      </c>
      <c r="AK34" s="93">
        <f>IF(A34&lt;='Dados de entrada'!$B$45,'Dados de entrada'!$B$47,0)</f>
        <v>0</v>
      </c>
      <c r="AL34" s="93">
        <f>IF(AND(A34&gt;'Dados de entrada'!$B$45,A34&lt;='Dados de entrada'!$B$10),'Dados de entrada'!$B$48,0)</f>
        <v>0</v>
      </c>
      <c r="AM34" s="93">
        <f ca="1">AL34/((1+'Dados de entrada'!$D$49)^($AA34/360))</f>
        <v>0</v>
      </c>
      <c r="AN34" s="85">
        <f t="shared" si="9"/>
        <v>3000</v>
      </c>
    </row>
    <row r="35" spans="1:40">
      <c r="A35" s="69">
        <f>IF(A34="","",IF(A34+1&lt;='Dados de entrada'!$B$10,A34+1,""))</f>
        <v>32</v>
      </c>
      <c r="B35" s="70">
        <f t="shared" si="2"/>
        <v>47184</v>
      </c>
      <c r="C35" s="69">
        <f t="shared" si="3"/>
        <v>30</v>
      </c>
      <c r="D35" s="71">
        <f ca="1">IF(A35="","",F34*(1+'Dados de entrada'!$B$6)^(C35/30))</f>
        <v>22297.040198765666</v>
      </c>
      <c r="E35" s="71">
        <f ca="1">IF(A35="","",-'Dados de entrada'!$J$20)</f>
        <v>-615.26347669246445</v>
      </c>
      <c r="F35" s="71">
        <f t="shared" ca="1" si="4"/>
        <v>21681.776722073202</v>
      </c>
      <c r="G35" s="71">
        <f t="shared" ca="1" si="5"/>
        <v>67.145670413625339</v>
      </c>
      <c r="H35" s="69">
        <f t="shared" ca="1" si="6"/>
        <v>972</v>
      </c>
      <c r="I35" s="71">
        <f ca="1">IF(A35="","",MIN(H35,365)*G35*'Dados de entrada'!$B$11+G35*'Dados de entrada'!$B$12)</f>
        <v>2.2648234630515827</v>
      </c>
      <c r="J35" s="71">
        <f t="shared" ca="1" si="7"/>
        <v>-3000</v>
      </c>
      <c r="K35" s="71">
        <f t="shared" ca="1" si="8"/>
        <v>-3000</v>
      </c>
      <c r="L35" s="72">
        <f ca="1">IF(A35="","",IF(A35&lt;='Dados de entrada'!$J$2,-V34,-V34*(1-'Dados de entrada'!$J$3)))</f>
        <v>3000</v>
      </c>
      <c r="M35" s="72">
        <f ca="1">IF(A35="","",L35*'Dados de entrada'!$E$4)</f>
        <v>60.599999999999994</v>
      </c>
      <c r="N35" s="72">
        <f ca="1">IF(A35="","",IF(A35&lt;='Dados de entrada'!$E$2,'Dados de entrada'!$E$13*'Dados de entrada'!$E$10/'Dados de entrada'!$B$10,'Dados de entrada'!$E$13*'Dados de entrada'!$E$10/'Dados de entrada'!$B$10*(1-'Dados de entrada'!$E$3)))</f>
        <v>0</v>
      </c>
      <c r="O35" s="71">
        <f ca="1">IF(A35="","",IF(AND(A35='Dados de entrada'!$E$2),(O34*(1+'Dados de entrada'!$B$6)-L35)*(1-'Dados de entrada'!$E$3),IF(AND(A35&lt;&gt;'Dados de entrada'!$A$2),O34*(1+'Dados de entrada'!$B$6)^(C35/30)-L35,"")))</f>
        <v>105719.47243787393</v>
      </c>
      <c r="P35" s="71">
        <f ca="1">IF(A35="","",(O34*((1+'Dados de entrada'!$B$6)^(-DAYS360(B35,B34)/30)-1)-O34*((1+'Dados de entrada'!$H$10)^(-DAYS360(B35,B34)/360)-1))*4.65%)</f>
        <v>96.510193675237232</v>
      </c>
      <c r="Q35" s="75">
        <f ca="1">IF(E35&lt;&gt;"",'Dados de entrada'!$H$5-E35*'Dados de entrada'!$H$6,"")</f>
        <v>0</v>
      </c>
      <c r="R35" s="71">
        <f ca="1">IF(A35="","",IF(A35='Dados de entrada'!$E$2,PV('Dados de entrada'!$B$6,'Dados de entrada'!$B$10-'Dados de entrada'!$E$2+1,+L35*(-'Dados de entrada'!$E$3),,1)+L35*(1-'Dados de entrada'!$E$3)-M35-N35-P35-Q35,L35-M35-N35-P35-Q35))</f>
        <v>2842.889806324763</v>
      </c>
      <c r="S35" s="74">
        <f t="shared" ca="1" si="0"/>
        <v>972</v>
      </c>
      <c r="T35" s="67">
        <f ca="1">IF(E35&lt;&gt;"",(-E35)/((1+'Dados de entrada'!$B$6)^(S35/30)),"")</f>
        <v>274.68453021596866</v>
      </c>
      <c r="U35" s="67">
        <f t="shared" ca="1" si="1"/>
        <v>266993.36336992151</v>
      </c>
      <c r="V35" s="71">
        <f ca="1">IF(F35="","",-'Dados de entrada'!$B$2)</f>
        <v>-3000</v>
      </c>
      <c r="X35" s="93">
        <f>+Resumo!$E$12-Resumo!$E$20</f>
        <v>0</v>
      </c>
      <c r="Y35" s="116">
        <f t="shared" si="10"/>
        <v>47184</v>
      </c>
      <c r="Z35" s="81">
        <v>30</v>
      </c>
      <c r="AA35" s="81">
        <f t="shared" ca="1" si="11"/>
        <v>958</v>
      </c>
      <c r="AB35" s="93">
        <f>IF(A35&lt;='Dados de entrada'!$B$18,'Dados de entrada'!$B$20,0)</f>
        <v>3000</v>
      </c>
      <c r="AC35" s="93">
        <f>IF(OR(Resumo!$E$23&gt;0,Resumo!$E$28&gt;0,Resumo!$E$33&gt;0),IF(AND(A35&gt;'Dados de entrada'!$B$18,A35&lt;='Dados de entrada'!$B$10),'Dados de entrada'!$B$21,0),IF(AND(A35&gt;'Dados de entrada'!$B$18,A35&lt;='Dados de entrada'!$B$10),'Dados de entrada'!$B$21,IF(A35&lt;='Dados de entrada'!$B$18,X35,0)))</f>
        <v>0</v>
      </c>
      <c r="AD35" s="93">
        <f ca="1">AC35/((1+'Dados de entrada'!$D$22)^($AA35/360))</f>
        <v>0</v>
      </c>
      <c r="AE35" s="93">
        <f>IF(A35&lt;='Dados de entrada'!$B$27,'Dados de entrada'!$B$29,0)</f>
        <v>0</v>
      </c>
      <c r="AF35" s="93">
        <f>IF(AND(A35&gt;'Dados de entrada'!$B$27,A35&lt;='Dados de entrada'!$B$10),'Dados de entrada'!$B$30,0)</f>
        <v>0</v>
      </c>
      <c r="AG35" s="93">
        <f ca="1">AF35/((1+'Dados de entrada'!$D$31)^($AA35/360))</f>
        <v>0</v>
      </c>
      <c r="AH35" s="93">
        <f>IF(A35&lt;='Dados de entrada'!$B$36,'Dados de entrada'!$B$38,0)</f>
        <v>0</v>
      </c>
      <c r="AI35" s="93">
        <f>IF(AND(A35&gt;'Dados de entrada'!$B$36,A35&lt;='Dados de entrada'!$B$10),'Dados de entrada'!$B$39,0)</f>
        <v>0</v>
      </c>
      <c r="AJ35" s="93">
        <f ca="1">AI35/((1+'Dados de entrada'!$D$40)^($AA35/360))</f>
        <v>0</v>
      </c>
      <c r="AK35" s="93">
        <f>IF(A35&lt;='Dados de entrada'!$B$45,'Dados de entrada'!$B$47,0)</f>
        <v>0</v>
      </c>
      <c r="AL35" s="93">
        <f>IF(AND(A35&gt;'Dados de entrada'!$B$45,A35&lt;='Dados de entrada'!$B$10),'Dados de entrada'!$B$48,0)</f>
        <v>0</v>
      </c>
      <c r="AM35" s="93">
        <f ca="1">AL35/((1+'Dados de entrada'!$D$49)^($AA35/360))</f>
        <v>0</v>
      </c>
      <c r="AN35" s="85">
        <f t="shared" si="9"/>
        <v>3000</v>
      </c>
    </row>
    <row r="36" spans="1:40">
      <c r="A36" s="69">
        <f>IF(A35="","",IF(A35+1&lt;='Dados de entrada'!$B$10,A35+1,""))</f>
        <v>33</v>
      </c>
      <c r="B36" s="70">
        <f t="shared" si="2"/>
        <v>47215</v>
      </c>
      <c r="C36" s="69">
        <f t="shared" si="3"/>
        <v>30</v>
      </c>
      <c r="D36" s="71">
        <f ca="1">IF(A36="","",F35*(1+'Dados de entrada'!$B$6)^(C36/30))</f>
        <v>22228.20231864601</v>
      </c>
      <c r="E36" s="71">
        <f ca="1">IF(A36="","",-'Dados de entrada'!$J$20)</f>
        <v>-615.26347669246445</v>
      </c>
      <c r="F36" s="71">
        <f t="shared" ca="1" si="4"/>
        <v>21612.938841953546</v>
      </c>
      <c r="G36" s="71">
        <f t="shared" ca="1" si="5"/>
        <v>68.837880119655892</v>
      </c>
      <c r="H36" s="69">
        <f t="shared" ca="1" si="6"/>
        <v>1003</v>
      </c>
      <c r="I36" s="71">
        <f ca="1">IF(A36="","",MIN(H36,365)*G36*'Dados de entrada'!$B$11+G36*'Dados de entrada'!$B$12)</f>
        <v>2.3219016964359933</v>
      </c>
      <c r="J36" s="71">
        <f t="shared" ca="1" si="7"/>
        <v>-3000</v>
      </c>
      <c r="K36" s="71">
        <f t="shared" ca="1" si="8"/>
        <v>-3000</v>
      </c>
      <c r="L36" s="72">
        <f ca="1">IF(A36="","",IF(A36&lt;='Dados de entrada'!$J$2,-V35,-V35*(1-'Dados de entrada'!$J$3)))</f>
        <v>3000</v>
      </c>
      <c r="M36" s="72">
        <f ca="1">IF(A36="","",L36*'Dados de entrada'!$E$4)</f>
        <v>60.599999999999994</v>
      </c>
      <c r="N36" s="72">
        <f ca="1">IF(A36="","",IF(A36&lt;='Dados de entrada'!$E$2,'Dados de entrada'!$E$13*'Dados de entrada'!$E$10/'Dados de entrada'!$B$10,'Dados de entrada'!$E$13*'Dados de entrada'!$E$10/'Dados de entrada'!$B$10*(1-'Dados de entrada'!$E$3)))</f>
        <v>0</v>
      </c>
      <c r="O36" s="71">
        <f ca="1">IF(A36="","",IF(AND(A36='Dados de entrada'!$E$2),(O35*(1+'Dados de entrada'!$B$6)-L36)*(1-'Dados de entrada'!$E$3),IF(AND(A36&lt;&gt;'Dados de entrada'!$A$2),O35*(1+'Dados de entrada'!$B$6)^(C36/30)-L36,"")))</f>
        <v>105383.82169931693</v>
      </c>
      <c r="P36" s="71">
        <f ca="1">IF(A36="","",(O35*((1+'Dados de entrada'!$B$6)^(-DAYS360(B36,B35)/30)-1)-O35*((1+'Dados de entrada'!$H$10)^(-DAYS360(B36,B35)/360)-1))*4.65%)</f>
        <v>96.212236767803901</v>
      </c>
      <c r="Q36" s="75">
        <f ca="1">IF(E36&lt;&gt;"",'Dados de entrada'!$H$5-E36*'Dados de entrada'!$H$6,"")</f>
        <v>0</v>
      </c>
      <c r="R36" s="71">
        <f ca="1">IF(A36="","",IF(A36='Dados de entrada'!$E$2,PV('Dados de entrada'!$B$6,'Dados de entrada'!$B$10-'Dados de entrada'!$E$2+1,+L36*(-'Dados de entrada'!$E$3),,1)+L36*(1-'Dados de entrada'!$E$3)-M36-N36-P36-Q36,L36-M36-N36-P36-Q36))</f>
        <v>2843.1877632321962</v>
      </c>
      <c r="S36" s="74">
        <f t="shared" ref="S36:S67" ca="1" si="12">IF(H36&lt;&gt;"",H36,"")</f>
        <v>1003</v>
      </c>
      <c r="T36" s="67">
        <f ca="1">IF(E36&lt;&gt;"",(-E36)/((1+'Dados de entrada'!$B$6)^(S36/30)),"")</f>
        <v>267.70988796333171</v>
      </c>
      <c r="U36" s="67">
        <f t="shared" ref="U36:U67" ca="1" si="13">IF(T36&lt;&gt;"",T36*S36,"")</f>
        <v>268513.01762722171</v>
      </c>
      <c r="V36" s="71">
        <f ca="1">IF(F36="","",-'Dados de entrada'!$B$2)</f>
        <v>-3000</v>
      </c>
      <c r="X36" s="93">
        <f>+Resumo!$E$12-Resumo!$E$20</f>
        <v>0</v>
      </c>
      <c r="Y36" s="116">
        <f t="shared" si="10"/>
        <v>47215</v>
      </c>
      <c r="Z36" s="81">
        <v>30</v>
      </c>
      <c r="AA36" s="81">
        <f t="shared" ca="1" si="11"/>
        <v>988</v>
      </c>
      <c r="AB36" s="93">
        <f>IF(A36&lt;='Dados de entrada'!$B$18,'Dados de entrada'!$B$20,0)</f>
        <v>3000</v>
      </c>
      <c r="AC36" s="93">
        <f>IF(OR(Resumo!$E$23&gt;0,Resumo!$E$28&gt;0,Resumo!$E$33&gt;0),IF(AND(A36&gt;'Dados de entrada'!$B$18,A36&lt;='Dados de entrada'!$B$10),'Dados de entrada'!$B$21,0),IF(AND(A36&gt;'Dados de entrada'!$B$18,A36&lt;='Dados de entrada'!$B$10),'Dados de entrada'!$B$21,IF(A36&lt;='Dados de entrada'!$B$18,X36,0)))</f>
        <v>0</v>
      </c>
      <c r="AD36" s="93">
        <f ca="1">AC36/((1+'Dados de entrada'!$D$22)^($AA36/360))</f>
        <v>0</v>
      </c>
      <c r="AE36" s="93">
        <f>IF(A36&lt;='Dados de entrada'!$B$27,'Dados de entrada'!$B$29,0)</f>
        <v>0</v>
      </c>
      <c r="AF36" s="93">
        <f>IF(AND(A36&gt;'Dados de entrada'!$B$27,A36&lt;='Dados de entrada'!$B$10),'Dados de entrada'!$B$30,0)</f>
        <v>0</v>
      </c>
      <c r="AG36" s="93">
        <f ca="1">AF36/((1+'Dados de entrada'!$D$31)^($AA36/360))</f>
        <v>0</v>
      </c>
      <c r="AH36" s="93">
        <f>IF(A36&lt;='Dados de entrada'!$B$36,'Dados de entrada'!$B$38,0)</f>
        <v>0</v>
      </c>
      <c r="AI36" s="93">
        <f>IF(AND(A36&gt;'Dados de entrada'!$B$36,A36&lt;='Dados de entrada'!$B$10),'Dados de entrada'!$B$39,0)</f>
        <v>0</v>
      </c>
      <c r="AJ36" s="93">
        <f ca="1">AI36/((1+'Dados de entrada'!$D$40)^($AA36/360))</f>
        <v>0</v>
      </c>
      <c r="AK36" s="93">
        <f>IF(A36&lt;='Dados de entrada'!$B$45,'Dados de entrada'!$B$47,0)</f>
        <v>0</v>
      </c>
      <c r="AL36" s="93">
        <f>IF(AND(A36&gt;'Dados de entrada'!$B$45,A36&lt;='Dados de entrada'!$B$10),'Dados de entrada'!$B$48,0)</f>
        <v>0</v>
      </c>
      <c r="AM36" s="93">
        <f ca="1">AL36/((1+'Dados de entrada'!$D$49)^($AA36/360))</f>
        <v>0</v>
      </c>
      <c r="AN36" s="85">
        <f t="shared" si="9"/>
        <v>3000</v>
      </c>
    </row>
    <row r="37" spans="1:40">
      <c r="A37" s="69">
        <f>IF(A36="","",IF(A36+1&lt;='Dados de entrada'!$B$10,A36+1,""))</f>
        <v>34</v>
      </c>
      <c r="B37" s="70">
        <f t="shared" ref="B37:B68" si="14">IF(A37="","",DATE(YEAR(B36),MONTH(B36)+1,DAY(B36)))</f>
        <v>47245</v>
      </c>
      <c r="C37" s="69">
        <f t="shared" ref="C37:C68" si="15">IF(A37="","",30)</f>
        <v>30</v>
      </c>
      <c r="D37" s="71">
        <f ca="1">IF(A37="","",F36*(1+'Dados de entrada'!$B$6)^(C37/30))</f>
        <v>22157.629581637393</v>
      </c>
      <c r="E37" s="71">
        <f ca="1">IF(A37="","",-'Dados de entrada'!$J$20)</f>
        <v>-615.26347669246445</v>
      </c>
      <c r="F37" s="71">
        <f t="shared" ref="F37:F68" ca="1" si="16">IF(A37="","",D37+E37)</f>
        <v>21542.366104944929</v>
      </c>
      <c r="G37" s="71">
        <f t="shared" ref="G37:G68" ca="1" si="17">IF(A37="","",F36-F37)</f>
        <v>70.572737008616969</v>
      </c>
      <c r="H37" s="69">
        <f t="shared" ref="H37:H68" ca="1" si="18">IF(A37="","",B37-$B$3)</f>
        <v>1033</v>
      </c>
      <c r="I37" s="71">
        <f ca="1">IF(A37="","",MIN(H37,365)*G37*'Dados de entrada'!$B$11+G37*'Dados de entrada'!$B$12)</f>
        <v>2.3804184193006508</v>
      </c>
      <c r="J37" s="71">
        <f t="shared" ref="J37:J68" ca="1" si="19">IF(A37="","",V37)</f>
        <v>-3000</v>
      </c>
      <c r="K37" s="71">
        <f t="shared" ref="K37:K68" ca="1" si="20">IF(A37="","",V37)</f>
        <v>-3000</v>
      </c>
      <c r="L37" s="72">
        <f ca="1">IF(A37="","",IF(A37&lt;='Dados de entrada'!$J$2,-V36,-V36*(1-'Dados de entrada'!$J$3)))</f>
        <v>3000</v>
      </c>
      <c r="M37" s="72">
        <f ca="1">IF(A37="","",L37*'Dados de entrada'!$E$4)</f>
        <v>60.599999999999994</v>
      </c>
      <c r="N37" s="72">
        <f ca="1">IF(A37="","",IF(A37&lt;='Dados de entrada'!$E$2,'Dados de entrada'!$E$13*'Dados de entrada'!$E$10/'Dados de entrada'!$B$10,'Dados de entrada'!$E$13*'Dados de entrada'!$E$10/'Dados de entrada'!$B$10*(1-'Dados de entrada'!$E$3)))</f>
        <v>0</v>
      </c>
      <c r="O37" s="71">
        <f ca="1">IF(A37="","",IF(AND(A37='Dados de entrada'!$E$2),(O36*(1+'Dados de entrada'!$B$6)-L37)*(1-'Dados de entrada'!$E$3),IF(AND(A37&lt;&gt;'Dados de entrada'!$A$2),O36*(1+'Dados de entrada'!$B$6)^(C37/30)-L37,"")))</f>
        <v>105039.71186825073</v>
      </c>
      <c r="P37" s="71">
        <f ca="1">IF(A37="","",(O36*((1+'Dados de entrada'!$B$6)^(-DAYS360(B37,B36)/30)-1)-O36*((1+'Dados de entrada'!$H$10)^(-DAYS360(B37,B36)/360)-1))*4.65%)</f>
        <v>95.906770730330891</v>
      </c>
      <c r="Q37" s="75">
        <f ca="1">IF(E37&lt;&gt;"",'Dados de entrada'!$H$5-E37*'Dados de entrada'!$H$6,"")</f>
        <v>0</v>
      </c>
      <c r="R37" s="71">
        <f ca="1">IF(A37="","",IF(A37='Dados de entrada'!$E$2,PV('Dados de entrada'!$B$6,'Dados de entrada'!$B$10-'Dados de entrada'!$E$2+1,+L37*(-'Dados de entrada'!$E$3),,1)+L37*(1-'Dados de entrada'!$E$3)-M37-N37-P37-Q37,L37-M37-N37-P37-Q37))</f>
        <v>2843.4932292696694</v>
      </c>
      <c r="S37" s="74">
        <f t="shared" ca="1" si="12"/>
        <v>1033</v>
      </c>
      <c r="T37" s="67">
        <f ca="1">IF(E37&lt;&gt;"",(-E37)/((1+'Dados de entrada'!$B$6)^(S37/30)),"")</f>
        <v>261.12889985004216</v>
      </c>
      <c r="U37" s="67">
        <f t="shared" ca="1" si="13"/>
        <v>269746.15354509355</v>
      </c>
      <c r="V37" s="71">
        <f ca="1">IF(F37="","",-'Dados de entrada'!$B$2)</f>
        <v>-3000</v>
      </c>
      <c r="X37" s="93">
        <f>+Resumo!$E$12-Resumo!$E$20</f>
        <v>0</v>
      </c>
      <c r="Y37" s="116">
        <f t="shared" si="10"/>
        <v>47245</v>
      </c>
      <c r="Z37" s="81">
        <v>30</v>
      </c>
      <c r="AA37" s="81">
        <f t="shared" ca="1" si="11"/>
        <v>1018</v>
      </c>
      <c r="AB37" s="93">
        <f>IF(A37&lt;='Dados de entrada'!$B$18,'Dados de entrada'!$B$20,0)</f>
        <v>3000</v>
      </c>
      <c r="AC37" s="93">
        <f>IF(OR(Resumo!$E$23&gt;0,Resumo!$E$28&gt;0,Resumo!$E$33&gt;0),IF(AND(A37&gt;'Dados de entrada'!$B$18,A37&lt;='Dados de entrada'!$B$10),'Dados de entrada'!$B$21,0),IF(AND(A37&gt;'Dados de entrada'!$B$18,A37&lt;='Dados de entrada'!$B$10),'Dados de entrada'!$B$21,IF(A37&lt;='Dados de entrada'!$B$18,X37,0)))</f>
        <v>0</v>
      </c>
      <c r="AD37" s="93">
        <f ca="1">AC37/((1+'Dados de entrada'!$D$22)^($AA37/360))</f>
        <v>0</v>
      </c>
      <c r="AE37" s="93">
        <f>IF(A37&lt;='Dados de entrada'!$B$27,'Dados de entrada'!$B$29,0)</f>
        <v>0</v>
      </c>
      <c r="AF37" s="93">
        <f>IF(AND(A37&gt;'Dados de entrada'!$B$27,A37&lt;='Dados de entrada'!$B$10),'Dados de entrada'!$B$30,0)</f>
        <v>0</v>
      </c>
      <c r="AG37" s="93">
        <f ca="1">AF37/((1+'Dados de entrada'!$D$31)^($AA37/360))</f>
        <v>0</v>
      </c>
      <c r="AH37" s="93">
        <f>IF(A37&lt;='Dados de entrada'!$B$36,'Dados de entrada'!$B$38,0)</f>
        <v>0</v>
      </c>
      <c r="AI37" s="93">
        <f>IF(AND(A37&gt;'Dados de entrada'!$B$36,A37&lt;='Dados de entrada'!$B$10),'Dados de entrada'!$B$39,0)</f>
        <v>0</v>
      </c>
      <c r="AJ37" s="93">
        <f ca="1">AI37/((1+'Dados de entrada'!$D$40)^($AA37/360))</f>
        <v>0</v>
      </c>
      <c r="AK37" s="93">
        <f>IF(A37&lt;='Dados de entrada'!$B$45,'Dados de entrada'!$B$47,0)</f>
        <v>0</v>
      </c>
      <c r="AL37" s="93">
        <f>IF(AND(A37&gt;'Dados de entrada'!$B$45,A37&lt;='Dados de entrada'!$B$10),'Dados de entrada'!$B$48,0)</f>
        <v>0</v>
      </c>
      <c r="AM37" s="93">
        <f ca="1">AL37/((1+'Dados de entrada'!$D$49)^($AA37/360))</f>
        <v>0</v>
      </c>
      <c r="AN37" s="85">
        <f t="shared" si="9"/>
        <v>3000</v>
      </c>
    </row>
    <row r="38" spans="1:40">
      <c r="A38" s="69">
        <f>IF(A37="","",IF(A37+1&lt;='Dados de entrada'!$B$10,A37+1,""))</f>
        <v>35</v>
      </c>
      <c r="B38" s="70">
        <f t="shared" si="14"/>
        <v>47276</v>
      </c>
      <c r="C38" s="69">
        <f t="shared" si="15"/>
        <v>30</v>
      </c>
      <c r="D38" s="71">
        <f ca="1">IF(A38="","",F37*(1+'Dados de entrada'!$B$6)^(C38/30))</f>
        <v>22085.278265759709</v>
      </c>
      <c r="E38" s="71">
        <f ca="1">IF(A38="","",-'Dados de entrada'!$J$20)</f>
        <v>-615.26347669246445</v>
      </c>
      <c r="F38" s="71">
        <f t="shared" ca="1" si="16"/>
        <v>21470.014789067245</v>
      </c>
      <c r="G38" s="71">
        <f t="shared" ca="1" si="17"/>
        <v>72.351315877684101</v>
      </c>
      <c r="H38" s="69">
        <f t="shared" ca="1" si="18"/>
        <v>1064</v>
      </c>
      <c r="I38" s="71">
        <f ca="1">IF(A38="","",MIN(H38,365)*G38*'Dados de entrada'!$B$11+G38*'Dados de entrada'!$B$12)</f>
        <v>2.4404098845542848</v>
      </c>
      <c r="J38" s="71">
        <f t="shared" ca="1" si="19"/>
        <v>-3000</v>
      </c>
      <c r="K38" s="71">
        <f t="shared" ca="1" si="20"/>
        <v>-3000</v>
      </c>
      <c r="L38" s="72">
        <f ca="1">IF(A38="","",IF(A38&lt;='Dados de entrada'!$J$2,-V37,-V37*(1-'Dados de entrada'!$J$3)))</f>
        <v>3000</v>
      </c>
      <c r="M38" s="72">
        <f ca="1">IF(A38="","",L38*'Dados de entrada'!$E$4)</f>
        <v>60.599999999999994</v>
      </c>
      <c r="N38" s="72">
        <f ca="1">IF(A38="","",IF(A38&lt;='Dados de entrada'!$E$2,'Dados de entrada'!$E$13*'Dados de entrada'!$E$10/'Dados de entrada'!$B$10,'Dados de entrada'!$E$13*'Dados de entrada'!$E$10/'Dados de entrada'!$B$10*(1-'Dados de entrada'!$E$3)))</f>
        <v>0</v>
      </c>
      <c r="O38" s="71">
        <f ca="1">IF(A38="","",IF(AND(A38='Dados de entrada'!$E$2),(O37*(1+'Dados de entrada'!$B$6)-L38)*(1-'Dados de entrada'!$E$3),IF(AND(A38&lt;&gt;'Dados de entrada'!$A$2),O37*(1+'Dados de entrada'!$B$6)^(C38/30)-L38,"")))</f>
        <v>104686.92975805643</v>
      </c>
      <c r="P38" s="71">
        <f ca="1">IF(A38="","",(O37*((1+'Dados de entrada'!$B$6)^(-DAYS360(B38,B37)/30)-1)-O37*((1+'Dados de entrada'!$H$10)^(-DAYS360(B38,B37)/360)-1))*4.65%)</f>
        <v>95.59360631721745</v>
      </c>
      <c r="Q38" s="75">
        <f ca="1">IF(E38&lt;&gt;"",'Dados de entrada'!$H$5-E38*'Dados de entrada'!$H$6,"")</f>
        <v>0</v>
      </c>
      <c r="R38" s="71">
        <f ca="1">IF(A38="","",IF(A38='Dados de entrada'!$E$2,PV('Dados de entrada'!$B$6,'Dados de entrada'!$B$10-'Dados de entrada'!$E$2+1,+L38*(-'Dados de entrada'!$E$3),,1)+L38*(1-'Dados de entrada'!$E$3)-M38-N38-P38-Q38,L38-M38-N38-P38-Q38))</f>
        <v>2843.8063936827825</v>
      </c>
      <c r="S38" s="74">
        <f t="shared" ca="1" si="12"/>
        <v>1064</v>
      </c>
      <c r="T38" s="67">
        <f ca="1">IF(E38&lt;&gt;"",(-E38)/((1+'Dados de entrada'!$B$6)^(S38/30)),"")</f>
        <v>254.49845489252394</v>
      </c>
      <c r="U38" s="67">
        <f t="shared" ca="1" si="13"/>
        <v>270786.35600564547</v>
      </c>
      <c r="V38" s="71">
        <f ca="1">IF(F38="","",-'Dados de entrada'!$B$2)</f>
        <v>-3000</v>
      </c>
      <c r="X38" s="93">
        <f>+Resumo!$E$12-Resumo!$E$20</f>
        <v>0</v>
      </c>
      <c r="Y38" s="116">
        <f t="shared" si="10"/>
        <v>47276</v>
      </c>
      <c r="Z38" s="81">
        <v>30</v>
      </c>
      <c r="AA38" s="81">
        <f t="shared" ca="1" si="11"/>
        <v>1048</v>
      </c>
      <c r="AB38" s="93">
        <f>IF(A38&lt;='Dados de entrada'!$B$18,'Dados de entrada'!$B$20,0)</f>
        <v>3000</v>
      </c>
      <c r="AC38" s="93">
        <f>IF(OR(Resumo!$E$23&gt;0,Resumo!$E$28&gt;0,Resumo!$E$33&gt;0),IF(AND(A38&gt;'Dados de entrada'!$B$18,A38&lt;='Dados de entrada'!$B$10),'Dados de entrada'!$B$21,0),IF(AND(A38&gt;'Dados de entrada'!$B$18,A38&lt;='Dados de entrada'!$B$10),'Dados de entrada'!$B$21,IF(A38&lt;='Dados de entrada'!$B$18,X38,0)))</f>
        <v>0</v>
      </c>
      <c r="AD38" s="93">
        <f ca="1">AC38/((1+'Dados de entrada'!$D$22)^($AA38/360))</f>
        <v>0</v>
      </c>
      <c r="AE38" s="93">
        <f>IF(A38&lt;='Dados de entrada'!$B$27,'Dados de entrada'!$B$29,0)</f>
        <v>0</v>
      </c>
      <c r="AF38" s="93">
        <f>IF(AND(A38&gt;'Dados de entrada'!$B$27,A38&lt;='Dados de entrada'!$B$10),'Dados de entrada'!$B$30,0)</f>
        <v>0</v>
      </c>
      <c r="AG38" s="93">
        <f ca="1">AF38/((1+'Dados de entrada'!$D$31)^($AA38/360))</f>
        <v>0</v>
      </c>
      <c r="AH38" s="93">
        <f>IF(A38&lt;='Dados de entrada'!$B$36,'Dados de entrada'!$B$38,0)</f>
        <v>0</v>
      </c>
      <c r="AI38" s="93">
        <f>IF(AND(A38&gt;'Dados de entrada'!$B$36,A38&lt;='Dados de entrada'!$B$10),'Dados de entrada'!$B$39,0)</f>
        <v>0</v>
      </c>
      <c r="AJ38" s="93">
        <f ca="1">AI38/((1+'Dados de entrada'!$D$40)^($AA38/360))</f>
        <v>0</v>
      </c>
      <c r="AK38" s="93">
        <f>IF(A38&lt;='Dados de entrada'!$B$45,'Dados de entrada'!$B$47,0)</f>
        <v>0</v>
      </c>
      <c r="AL38" s="93">
        <f>IF(AND(A38&gt;'Dados de entrada'!$B$45,A38&lt;='Dados de entrada'!$B$10),'Dados de entrada'!$B$48,0)</f>
        <v>0</v>
      </c>
      <c r="AM38" s="93">
        <f ca="1">AL38/((1+'Dados de entrada'!$D$49)^($AA38/360))</f>
        <v>0</v>
      </c>
      <c r="AN38" s="85">
        <f t="shared" si="9"/>
        <v>3000</v>
      </c>
    </row>
    <row r="39" spans="1:40">
      <c r="A39" s="69">
        <f>IF(A38="","",IF(A38+1&lt;='Dados de entrada'!$B$10,A38+1,""))</f>
        <v>36</v>
      </c>
      <c r="B39" s="70">
        <f t="shared" si="14"/>
        <v>47306</v>
      </c>
      <c r="C39" s="69">
        <f t="shared" si="15"/>
        <v>30</v>
      </c>
      <c r="D39" s="71">
        <f ca="1">IF(A39="","",F38*(1+'Dados de entrada'!$B$6)^(C39/30))</f>
        <v>22011.103547148567</v>
      </c>
      <c r="E39" s="71">
        <f ca="1">IF(A39="","",-'Dados de entrada'!$J$20)</f>
        <v>-615.26347669246445</v>
      </c>
      <c r="F39" s="71">
        <f t="shared" ca="1" si="16"/>
        <v>21395.840070456103</v>
      </c>
      <c r="G39" s="71">
        <f t="shared" ca="1" si="17"/>
        <v>74.174718611142453</v>
      </c>
      <c r="H39" s="69">
        <f t="shared" ca="1" si="18"/>
        <v>1094</v>
      </c>
      <c r="I39" s="71">
        <f ca="1">IF(A39="","",MIN(H39,365)*G39*'Dados de entrada'!$B$11+G39*'Dados de entrada'!$B$12)</f>
        <v>2.5019132587538349</v>
      </c>
      <c r="J39" s="71">
        <f t="shared" ca="1" si="19"/>
        <v>-3000</v>
      </c>
      <c r="K39" s="71">
        <f t="shared" ca="1" si="20"/>
        <v>-3000</v>
      </c>
      <c r="L39" s="72">
        <f ca="1">IF(A39="","",IF(A39&lt;='Dados de entrada'!$J$2,-V38,-V38*(1-'Dados de entrada'!$J$3)))</f>
        <v>3000</v>
      </c>
      <c r="M39" s="72">
        <f ca="1">IF(A39="","",L39*'Dados de entrada'!$E$4)</f>
        <v>60.599999999999994</v>
      </c>
      <c r="N39" s="72">
        <f ca="1">IF(A39="","",IF(A39&lt;='Dados de entrada'!$E$2,'Dados de entrada'!$E$13*'Dados de entrada'!$E$10/'Dados de entrada'!$B$10,'Dados de entrada'!$E$13*'Dados de entrada'!$E$10/'Dados de entrada'!$B$10*(1-'Dados de entrada'!$E$3)))</f>
        <v>0</v>
      </c>
      <c r="O39" s="71">
        <f ca="1">IF(A39="","",IF(AND(A39='Dados de entrada'!$E$2),(O38*(1+'Dados de entrada'!$B$6)-L39)*(1-'Dados de entrada'!$E$3),IF(AND(A39&lt;&gt;'Dados de entrada'!$A$2),O38*(1+'Dados de entrada'!$B$6)^(C39/30)-L39,"")))</f>
        <v>104325.25680937163</v>
      </c>
      <c r="P39" s="71">
        <f ca="1">IF(A39="","",(O38*((1+'Dados de entrada'!$B$6)^(-DAYS360(B39,B38)/30)-1)-O38*((1+'Dados de entrada'!$H$10)^(-DAYS360(B39,B38)/360)-1))*4.65%)</f>
        <v>95.272549513482389</v>
      </c>
      <c r="Q39" s="75">
        <f ca="1">IF(E39&lt;&gt;"",'Dados de entrada'!$H$5-E39*'Dados de entrada'!$H$6,"")</f>
        <v>0</v>
      </c>
      <c r="R39" s="71">
        <f ca="1">IF(A39="","",IF(A39='Dados de entrada'!$E$2,PV('Dados de entrada'!$B$6,'Dados de entrada'!$B$10-'Dados de entrada'!$E$2+1,+L39*(-'Dados de entrada'!$E$3),,1)+L39*(1-'Dados de entrada'!$E$3)-M39-N39-P39-Q39,L39-M39-N39-P39-Q39))</f>
        <v>2844.1274504865178</v>
      </c>
      <c r="S39" s="74">
        <f t="shared" ca="1" si="12"/>
        <v>1094</v>
      </c>
      <c r="T39" s="67">
        <f ca="1">IF(E39&lt;&gt;"",(-E39)/((1+'Dados de entrada'!$B$6)^(S39/30)),"")</f>
        <v>248.24223731595222</v>
      </c>
      <c r="U39" s="67">
        <f t="shared" ca="1" si="13"/>
        <v>271577.00762365171</v>
      </c>
      <c r="V39" s="71">
        <f ca="1">IF(F39="","",-'Dados de entrada'!$B$2)</f>
        <v>-3000</v>
      </c>
      <c r="X39" s="93">
        <f>+Resumo!$E$12-Resumo!$E$20</f>
        <v>0</v>
      </c>
      <c r="Y39" s="116">
        <f t="shared" si="10"/>
        <v>47306</v>
      </c>
      <c r="Z39" s="81">
        <v>30</v>
      </c>
      <c r="AA39" s="81">
        <f t="shared" ca="1" si="11"/>
        <v>1078</v>
      </c>
      <c r="AB39" s="93">
        <f>IF(A39&lt;='Dados de entrada'!$B$18,'Dados de entrada'!$B$20,0)</f>
        <v>3000</v>
      </c>
      <c r="AC39" s="93">
        <f>IF(OR(Resumo!$E$23&gt;0,Resumo!$E$28&gt;0,Resumo!$E$33&gt;0),IF(AND(A39&gt;'Dados de entrada'!$B$18,A39&lt;='Dados de entrada'!$B$10),'Dados de entrada'!$B$21,0),IF(AND(A39&gt;'Dados de entrada'!$B$18,A39&lt;='Dados de entrada'!$B$10),'Dados de entrada'!$B$21,IF(A39&lt;='Dados de entrada'!$B$18,X39,0)))</f>
        <v>0</v>
      </c>
      <c r="AD39" s="93">
        <f ca="1">AC39/((1+'Dados de entrada'!$D$22)^($AA39/360))</f>
        <v>0</v>
      </c>
      <c r="AE39" s="93">
        <f>IF(A39&lt;='Dados de entrada'!$B$27,'Dados de entrada'!$B$29,0)</f>
        <v>0</v>
      </c>
      <c r="AF39" s="93">
        <f>IF(AND(A39&gt;'Dados de entrada'!$B$27,A39&lt;='Dados de entrada'!$B$10),'Dados de entrada'!$B$30,0)</f>
        <v>0</v>
      </c>
      <c r="AG39" s="93">
        <f ca="1">AF39/((1+'Dados de entrada'!$D$31)^($AA39/360))</f>
        <v>0</v>
      </c>
      <c r="AH39" s="93">
        <f>IF(A39&lt;='Dados de entrada'!$B$36,'Dados de entrada'!$B$38,0)</f>
        <v>0</v>
      </c>
      <c r="AI39" s="93">
        <f>IF(AND(A39&gt;'Dados de entrada'!$B$36,A39&lt;='Dados de entrada'!$B$10),'Dados de entrada'!$B$39,0)</f>
        <v>0</v>
      </c>
      <c r="AJ39" s="93">
        <f ca="1">AI39/((1+'Dados de entrada'!$D$40)^($AA39/360))</f>
        <v>0</v>
      </c>
      <c r="AK39" s="93">
        <f>IF(A39&lt;='Dados de entrada'!$B$45,'Dados de entrada'!$B$47,0)</f>
        <v>0</v>
      </c>
      <c r="AL39" s="93">
        <f>IF(AND(A39&gt;'Dados de entrada'!$B$45,A39&lt;='Dados de entrada'!$B$10),'Dados de entrada'!$B$48,0)</f>
        <v>0</v>
      </c>
      <c r="AM39" s="93">
        <f ca="1">AL39/((1+'Dados de entrada'!$D$49)^($AA39/360))</f>
        <v>0</v>
      </c>
      <c r="AN39" s="85">
        <f t="shared" si="9"/>
        <v>3000</v>
      </c>
    </row>
    <row r="40" spans="1:40">
      <c r="A40" s="69">
        <f>IF(A39="","",IF(A39+1&lt;='Dados de entrada'!$B$10,A39+1,""))</f>
        <v>37</v>
      </c>
      <c r="B40" s="70">
        <f t="shared" si="14"/>
        <v>47337</v>
      </c>
      <c r="C40" s="69">
        <f t="shared" si="15"/>
        <v>30</v>
      </c>
      <c r="D40" s="71">
        <f ca="1">IF(A40="","",F39*(1+'Dados de entrada'!$B$6)^(C40/30))</f>
        <v>21935.059472285524</v>
      </c>
      <c r="E40" s="71">
        <f ca="1">IF(A40="","",-'Dados de entrada'!$J$20)</f>
        <v>-615.26347669246445</v>
      </c>
      <c r="F40" s="71">
        <f t="shared" ca="1" si="16"/>
        <v>21319.79599559306</v>
      </c>
      <c r="G40" s="71">
        <f t="shared" ca="1" si="17"/>
        <v>76.044074863042624</v>
      </c>
      <c r="H40" s="69">
        <f t="shared" ca="1" si="18"/>
        <v>1125</v>
      </c>
      <c r="I40" s="71">
        <f ca="1">IF(A40="","",MIN(H40,365)*G40*'Dados de entrada'!$B$11+G40*'Dados de entrada'!$B$12)</f>
        <v>2.5649666451304274</v>
      </c>
      <c r="J40" s="71">
        <f t="shared" ca="1" si="19"/>
        <v>-3000</v>
      </c>
      <c r="K40" s="71">
        <f t="shared" ca="1" si="20"/>
        <v>-3000</v>
      </c>
      <c r="L40" s="72">
        <f ca="1">IF(A40="","",IF(A40&lt;='Dados de entrada'!$J$2,-V39,-V39*(1-'Dados de entrada'!$J$3)))</f>
        <v>3000</v>
      </c>
      <c r="M40" s="72">
        <f ca="1">IF(A40="","",L40*'Dados de entrada'!$E$4)</f>
        <v>60.599999999999994</v>
      </c>
      <c r="N40" s="72">
        <f ca="1">IF(A40="","",IF(A40&lt;='Dados de entrada'!$E$2,'Dados de entrada'!$E$13*'Dados de entrada'!$E$10/'Dados de entrada'!$B$10,'Dados de entrada'!$E$13*'Dados de entrada'!$E$10/'Dados de entrada'!$B$10*(1-'Dados de entrada'!$E$3)))</f>
        <v>0</v>
      </c>
      <c r="O40" s="71">
        <f ca="1">IF(A40="","",IF(AND(A40='Dados de entrada'!$E$2),(O39*(1+'Dados de entrada'!$B$6)-L40)*(1-'Dados de entrada'!$E$3),IF(AND(A40&lt;&gt;'Dados de entrada'!$A$2),O39*(1+'Dados de entrada'!$B$6)^(C40/30)-L40,"")))</f>
        <v>103954.46895468613</v>
      </c>
      <c r="P40" s="71">
        <f ca="1">IF(A40="","",(O39*((1+'Dados de entrada'!$B$6)^(-DAYS360(B40,B39)/30)-1)-O39*((1+'Dados de entrada'!$H$10)^(-DAYS360(B40,B39)/360)-1))*4.65%)</f>
        <v>94.943401414565983</v>
      </c>
      <c r="Q40" s="75">
        <f ca="1">IF(E40&lt;&gt;"",'Dados de entrada'!$H$5-E40*'Dados de entrada'!$H$6,"")</f>
        <v>0</v>
      </c>
      <c r="R40" s="71">
        <f ca="1">IF(A40="","",IF(A40='Dados de entrada'!$E$2,PV('Dados de entrada'!$B$6,'Dados de entrada'!$B$10-'Dados de entrada'!$E$2+1,+L40*(-'Dados de entrada'!$E$3),,1)+L40*(1-'Dados de entrada'!$E$3)-M40-N40-P40-Q40,L40-M40-N40-P40-Q40))</f>
        <v>2844.4565985854342</v>
      </c>
      <c r="S40" s="74">
        <f t="shared" ca="1" si="12"/>
        <v>1125</v>
      </c>
      <c r="T40" s="67">
        <f ca="1">IF(E40&lt;&gt;"",(-E40)/((1+'Dados de entrada'!$B$6)^(S40/30)),"")</f>
        <v>241.93900358119598</v>
      </c>
      <c r="U40" s="67">
        <f t="shared" ca="1" si="13"/>
        <v>272181.37902884546</v>
      </c>
      <c r="V40" s="71">
        <f ca="1">IF(F40="","",-'Dados de entrada'!$B$2)</f>
        <v>-3000</v>
      </c>
      <c r="X40" s="93">
        <f>+Resumo!$E$12-Resumo!$E$20</f>
        <v>0</v>
      </c>
      <c r="Y40" s="116">
        <f t="shared" si="10"/>
        <v>47337</v>
      </c>
      <c r="Z40" s="81">
        <v>30</v>
      </c>
      <c r="AA40" s="81">
        <f t="shared" ca="1" si="11"/>
        <v>1108</v>
      </c>
      <c r="AB40" s="93">
        <f>IF(A40&lt;='Dados de entrada'!$B$18,'Dados de entrada'!$B$20,0)</f>
        <v>3000</v>
      </c>
      <c r="AC40" s="93">
        <f>IF(OR(Resumo!$E$23&gt;0,Resumo!$E$28&gt;0,Resumo!$E$33&gt;0),IF(AND(A40&gt;'Dados de entrada'!$B$18,A40&lt;='Dados de entrada'!$B$10),'Dados de entrada'!$B$21,0),IF(AND(A40&gt;'Dados de entrada'!$B$18,A40&lt;='Dados de entrada'!$B$10),'Dados de entrada'!$B$21,IF(A40&lt;='Dados de entrada'!$B$18,X40,0)))</f>
        <v>0</v>
      </c>
      <c r="AD40" s="93">
        <f ca="1">AC40/((1+'Dados de entrada'!$D$22)^($AA40/360))</f>
        <v>0</v>
      </c>
      <c r="AE40" s="93">
        <f>IF(A40&lt;='Dados de entrada'!$B$27,'Dados de entrada'!$B$29,0)</f>
        <v>0</v>
      </c>
      <c r="AF40" s="93">
        <f>IF(AND(A40&gt;'Dados de entrada'!$B$27,A40&lt;='Dados de entrada'!$B$10),'Dados de entrada'!$B$30,0)</f>
        <v>0</v>
      </c>
      <c r="AG40" s="93">
        <f ca="1">AF40/((1+'Dados de entrada'!$D$31)^($AA40/360))</f>
        <v>0</v>
      </c>
      <c r="AH40" s="93">
        <f>IF(A40&lt;='Dados de entrada'!$B$36,'Dados de entrada'!$B$38,0)</f>
        <v>0</v>
      </c>
      <c r="AI40" s="93">
        <f>IF(AND(A40&gt;'Dados de entrada'!$B$36,A40&lt;='Dados de entrada'!$B$10),'Dados de entrada'!$B$39,0)</f>
        <v>0</v>
      </c>
      <c r="AJ40" s="93">
        <f ca="1">AI40/((1+'Dados de entrada'!$D$40)^($AA40/360))</f>
        <v>0</v>
      </c>
      <c r="AK40" s="93">
        <f>IF(A40&lt;='Dados de entrada'!$B$45,'Dados de entrada'!$B$47,0)</f>
        <v>0</v>
      </c>
      <c r="AL40" s="93">
        <f>IF(AND(A40&gt;'Dados de entrada'!$B$45,A40&lt;='Dados de entrada'!$B$10),'Dados de entrada'!$B$48,0)</f>
        <v>0</v>
      </c>
      <c r="AM40" s="93">
        <f ca="1">AL40/((1+'Dados de entrada'!$D$49)^($AA40/360))</f>
        <v>0</v>
      </c>
      <c r="AN40" s="85">
        <f t="shared" si="9"/>
        <v>3000</v>
      </c>
    </row>
    <row r="41" spans="1:40">
      <c r="A41" s="69">
        <f>IF(A40="","",IF(A40+1&lt;='Dados de entrada'!$B$10,A40+1,""))</f>
        <v>38</v>
      </c>
      <c r="B41" s="70">
        <f t="shared" si="14"/>
        <v>47368</v>
      </c>
      <c r="C41" s="69">
        <f t="shared" si="15"/>
        <v>30</v>
      </c>
      <c r="D41" s="71">
        <f ca="1">IF(A41="","",F40*(1+'Dados de entrada'!$B$6)^(C41/30))</f>
        <v>21857.098929528474</v>
      </c>
      <c r="E41" s="71">
        <f ca="1">IF(A41="","",-'Dados de entrada'!$J$20)</f>
        <v>-615.26347669246445</v>
      </c>
      <c r="F41" s="71">
        <f t="shared" ca="1" si="16"/>
        <v>21241.835452836011</v>
      </c>
      <c r="G41" s="71">
        <f t="shared" ca="1" si="17"/>
        <v>77.960542757049552</v>
      </c>
      <c r="H41" s="69">
        <f t="shared" ca="1" si="18"/>
        <v>1156</v>
      </c>
      <c r="I41" s="71">
        <f ca="1">IF(A41="","",MIN(H41,365)*G41*'Dados de entrada'!$B$11+G41*'Dados de entrada'!$B$12)</f>
        <v>2.6296091071952814</v>
      </c>
      <c r="J41" s="71">
        <f t="shared" ca="1" si="19"/>
        <v>-3000</v>
      </c>
      <c r="K41" s="71">
        <f t="shared" ca="1" si="20"/>
        <v>-3000</v>
      </c>
      <c r="L41" s="72">
        <f ca="1">IF(A41="","",IF(A41&lt;='Dados de entrada'!$J$2,-V40,-V40*(1-'Dados de entrada'!$J$3)))</f>
        <v>3000</v>
      </c>
      <c r="M41" s="72">
        <f ca="1">IF(A41="","",L41*'Dados de entrada'!$E$4)</f>
        <v>60.599999999999994</v>
      </c>
      <c r="N41" s="72">
        <f ca="1">IF(A41="","",IF(A41&lt;='Dados de entrada'!$E$2,'Dados de entrada'!$E$13*'Dados de entrada'!$E$10/'Dados de entrada'!$B$10,'Dados de entrada'!$E$13*'Dados de entrada'!$E$10/'Dados de entrada'!$B$10*(1-'Dados de entrada'!$E$3)))</f>
        <v>0</v>
      </c>
      <c r="O41" s="71">
        <f ca="1">IF(A41="","",IF(AND(A41='Dados de entrada'!$E$2),(O40*(1+'Dados de entrada'!$B$6)-L41)*(1-'Dados de entrada'!$E$3),IF(AND(A41&lt;&gt;'Dados de entrada'!$A$2),O40*(1+'Dados de entrada'!$B$6)^(C41/30)-L41,"")))</f>
        <v>103574.33647952533</v>
      </c>
      <c r="P41" s="71">
        <f ca="1">IF(A41="","",(O40*((1+'Dados de entrada'!$B$6)^(-DAYS360(B41,B40)/30)-1)-O40*((1+'Dados de entrada'!$H$10)^(-DAYS360(B41,B40)/360)-1))*4.65%)</f>
        <v>94.605958103102324</v>
      </c>
      <c r="Q41" s="75">
        <f ca="1">IF(E41&lt;&gt;"",'Dados de entrada'!$H$5-E41*'Dados de entrada'!$H$6,"")</f>
        <v>0</v>
      </c>
      <c r="R41" s="71">
        <f ca="1">IF(A41="","",IF(A41='Dados de entrada'!$E$2,PV('Dados de entrada'!$B$6,'Dados de entrada'!$B$10-'Dados de entrada'!$E$2+1,+L41*(-'Dados de entrada'!$E$3),,1)+L41*(1-'Dados de entrada'!$E$3)-M41-N41-P41-Q41,L41-M41-N41-P41-Q41))</f>
        <v>2844.7940418968979</v>
      </c>
      <c r="S41" s="74">
        <f t="shared" ca="1" si="12"/>
        <v>1156</v>
      </c>
      <c r="T41" s="67">
        <f ca="1">IF(E41&lt;&gt;"",(-E41)/((1+'Dados de entrada'!$B$6)^(S41/30)),"")</f>
        <v>235.79581817642793</v>
      </c>
      <c r="U41" s="67">
        <f t="shared" ca="1" si="13"/>
        <v>272579.96581195068</v>
      </c>
      <c r="V41" s="71">
        <f ca="1">IF(F41="","",-'Dados de entrada'!$B$2)</f>
        <v>-3000</v>
      </c>
      <c r="X41" s="93">
        <f>+Resumo!$E$12-Resumo!$E$20</f>
        <v>0</v>
      </c>
      <c r="Y41" s="116">
        <f t="shared" si="10"/>
        <v>47368</v>
      </c>
      <c r="Z41" s="81">
        <v>30</v>
      </c>
      <c r="AA41" s="81">
        <f t="shared" ca="1" si="11"/>
        <v>1138</v>
      </c>
      <c r="AB41" s="93">
        <f>IF(A41&lt;='Dados de entrada'!$B$18,'Dados de entrada'!$B$20,0)</f>
        <v>3000</v>
      </c>
      <c r="AC41" s="93">
        <f>IF(OR(Resumo!$E$23&gt;0,Resumo!$E$28&gt;0,Resumo!$E$33&gt;0),IF(AND(A41&gt;'Dados de entrada'!$B$18,A41&lt;='Dados de entrada'!$B$10),'Dados de entrada'!$B$21,0),IF(AND(A41&gt;'Dados de entrada'!$B$18,A41&lt;='Dados de entrada'!$B$10),'Dados de entrada'!$B$21,IF(A41&lt;='Dados de entrada'!$B$18,X41,0)))</f>
        <v>0</v>
      </c>
      <c r="AD41" s="93">
        <f ca="1">AC41/((1+'Dados de entrada'!$D$22)^($AA41/360))</f>
        <v>0</v>
      </c>
      <c r="AE41" s="93">
        <f>IF(A41&lt;='Dados de entrada'!$B$27,'Dados de entrada'!$B$29,0)</f>
        <v>0</v>
      </c>
      <c r="AF41" s="93">
        <f>IF(AND(A41&gt;'Dados de entrada'!$B$27,A41&lt;='Dados de entrada'!$B$10),'Dados de entrada'!$B$30,0)</f>
        <v>0</v>
      </c>
      <c r="AG41" s="93">
        <f ca="1">AF41/((1+'Dados de entrada'!$D$31)^($AA41/360))</f>
        <v>0</v>
      </c>
      <c r="AH41" s="93">
        <f>IF(A41&lt;='Dados de entrada'!$B$36,'Dados de entrada'!$B$38,0)</f>
        <v>0</v>
      </c>
      <c r="AI41" s="93">
        <f>IF(AND(A41&gt;'Dados de entrada'!$B$36,A41&lt;='Dados de entrada'!$B$10),'Dados de entrada'!$B$39,0)</f>
        <v>0</v>
      </c>
      <c r="AJ41" s="93">
        <f ca="1">AI41/((1+'Dados de entrada'!$D$40)^($AA41/360))</f>
        <v>0</v>
      </c>
      <c r="AK41" s="93">
        <f>IF(A41&lt;='Dados de entrada'!$B$45,'Dados de entrada'!$B$47,0)</f>
        <v>0</v>
      </c>
      <c r="AL41" s="93">
        <f>IF(AND(A41&gt;'Dados de entrada'!$B$45,A41&lt;='Dados de entrada'!$B$10),'Dados de entrada'!$B$48,0)</f>
        <v>0</v>
      </c>
      <c r="AM41" s="93">
        <f ca="1">AL41/((1+'Dados de entrada'!$D$49)^($AA41/360))</f>
        <v>0</v>
      </c>
      <c r="AN41" s="85">
        <f t="shared" si="9"/>
        <v>3000</v>
      </c>
    </row>
    <row r="42" spans="1:40">
      <c r="A42" s="69">
        <f>IF(A41="","",IF(A41+1&lt;='Dados de entrada'!$B$10,A41+1,""))</f>
        <v>39</v>
      </c>
      <c r="B42" s="70">
        <f t="shared" si="14"/>
        <v>47398</v>
      </c>
      <c r="C42" s="69">
        <f t="shared" si="15"/>
        <v>30</v>
      </c>
      <c r="D42" s="71">
        <f ca="1">IF(A42="","",F41*(1+'Dados de entrada'!$B$6)^(C42/30))</f>
        <v>21777.173619924539</v>
      </c>
      <c r="E42" s="71">
        <f ca="1">IF(A42="","",-'Dados de entrada'!$J$20)</f>
        <v>-615.26347669246445</v>
      </c>
      <c r="F42" s="71">
        <f t="shared" ca="1" si="16"/>
        <v>21161.910143232075</v>
      </c>
      <c r="G42" s="71">
        <f t="shared" ca="1" si="17"/>
        <v>79.925309603935602</v>
      </c>
      <c r="H42" s="69">
        <f t="shared" ca="1" si="18"/>
        <v>1186</v>
      </c>
      <c r="I42" s="71">
        <f ca="1">IF(A42="","",MIN(H42,365)*G42*'Dados de entrada'!$B$11+G42*'Dados de entrada'!$B$12)</f>
        <v>2.6958806929407477</v>
      </c>
      <c r="J42" s="71">
        <f t="shared" ca="1" si="19"/>
        <v>-3000</v>
      </c>
      <c r="K42" s="71">
        <f t="shared" ca="1" si="20"/>
        <v>-3000</v>
      </c>
      <c r="L42" s="72">
        <f ca="1">IF(A42="","",IF(A42&lt;='Dados de entrada'!$J$2,-V41,-V41*(1-'Dados de entrada'!$J$3)))</f>
        <v>3000</v>
      </c>
      <c r="M42" s="72">
        <f ca="1">IF(A42="","",L42*'Dados de entrada'!$E$4)</f>
        <v>60.599999999999994</v>
      </c>
      <c r="N42" s="72">
        <f ca="1">IF(A42="","",IF(A42&lt;='Dados de entrada'!$E$2,'Dados de entrada'!$E$13*'Dados de entrada'!$E$10/'Dados de entrada'!$B$10,'Dados de entrada'!$E$13*'Dados de entrada'!$E$10/'Dados de entrada'!$B$10*(1-'Dados de entrada'!$E$3)))</f>
        <v>0</v>
      </c>
      <c r="O42" s="71">
        <f ca="1">IF(A42="","",IF(AND(A42='Dados de entrada'!$E$2),(O41*(1+'Dados de entrada'!$B$6)-L42)*(1-'Dados de entrada'!$E$3),IF(AND(A42&lt;&gt;'Dados de entrada'!$A$2),O41*(1+'Dados de entrada'!$B$6)^(C42/30)-L42,"")))</f>
        <v>103184.6238801349</v>
      </c>
      <c r="P42" s="71">
        <f ca="1">IF(A42="","",(O41*((1+'Dados de entrada'!$B$6)^(-DAYS360(B42,B41)/30)-1)-O41*((1+'Dados de entrada'!$H$10)^(-DAYS360(B42,B41)/360)-1))*4.65%)</f>
        <v>94.260010522586398</v>
      </c>
      <c r="Q42" s="75">
        <f ca="1">IF(E42&lt;&gt;"",'Dados de entrada'!$H$5-E42*'Dados de entrada'!$H$6,"")</f>
        <v>0</v>
      </c>
      <c r="R42" s="71">
        <f ca="1">IF(A42="","",IF(A42='Dados de entrada'!$E$2,PV('Dados de entrada'!$B$6,'Dados de entrada'!$B$10-'Dados de entrada'!$E$2+1,+L42*(-'Dados de entrada'!$E$3),,1)+L42*(1-'Dados de entrada'!$E$3)-M42-N42-P42-Q42,L42-M42-N42-P42-Q42))</f>
        <v>2845.1399894774136</v>
      </c>
      <c r="S42" s="74">
        <f t="shared" ca="1" si="12"/>
        <v>1186</v>
      </c>
      <c r="T42" s="67">
        <f ca="1">IF(E42&lt;&gt;"",(-E42)/((1+'Dados de entrada'!$B$6)^(S42/30)),"")</f>
        <v>229.99935885104435</v>
      </c>
      <c r="U42" s="67">
        <f t="shared" ca="1" si="13"/>
        <v>272779.2395973386</v>
      </c>
      <c r="V42" s="71">
        <f ca="1">IF(F42="","",-'Dados de entrada'!$B$2)</f>
        <v>-3000</v>
      </c>
      <c r="X42" s="93">
        <f>+Resumo!$E$12-Resumo!$E$20</f>
        <v>0</v>
      </c>
      <c r="Y42" s="116">
        <f t="shared" si="10"/>
        <v>47398</v>
      </c>
      <c r="Z42" s="81">
        <v>30</v>
      </c>
      <c r="AA42" s="81">
        <f t="shared" ca="1" si="11"/>
        <v>1168</v>
      </c>
      <c r="AB42" s="93">
        <f>IF(A42&lt;='Dados de entrada'!$B$18,'Dados de entrada'!$B$20,0)</f>
        <v>3000</v>
      </c>
      <c r="AC42" s="93">
        <f>IF(OR(Resumo!$E$23&gt;0,Resumo!$E$28&gt;0,Resumo!$E$33&gt;0),IF(AND(A42&gt;'Dados de entrada'!$B$18,A42&lt;='Dados de entrada'!$B$10),'Dados de entrada'!$B$21,0),IF(AND(A42&gt;'Dados de entrada'!$B$18,A42&lt;='Dados de entrada'!$B$10),'Dados de entrada'!$B$21,IF(A42&lt;='Dados de entrada'!$B$18,X42,0)))</f>
        <v>0</v>
      </c>
      <c r="AD42" s="93">
        <f ca="1">AC42/((1+'Dados de entrada'!$D$22)^($AA42/360))</f>
        <v>0</v>
      </c>
      <c r="AE42" s="93">
        <f>IF(A42&lt;='Dados de entrada'!$B$27,'Dados de entrada'!$B$29,0)</f>
        <v>0</v>
      </c>
      <c r="AF42" s="93">
        <f>IF(AND(A42&gt;'Dados de entrada'!$B$27,A42&lt;='Dados de entrada'!$B$10),'Dados de entrada'!$B$30,0)</f>
        <v>0</v>
      </c>
      <c r="AG42" s="93">
        <f ca="1">AF42/((1+'Dados de entrada'!$D$31)^($AA42/360))</f>
        <v>0</v>
      </c>
      <c r="AH42" s="93">
        <f>IF(A42&lt;='Dados de entrada'!$B$36,'Dados de entrada'!$B$38,0)</f>
        <v>0</v>
      </c>
      <c r="AI42" s="93">
        <f>IF(AND(A42&gt;'Dados de entrada'!$B$36,A42&lt;='Dados de entrada'!$B$10),'Dados de entrada'!$B$39,0)</f>
        <v>0</v>
      </c>
      <c r="AJ42" s="93">
        <f ca="1">AI42/((1+'Dados de entrada'!$D$40)^($AA42/360))</f>
        <v>0</v>
      </c>
      <c r="AK42" s="93">
        <f>IF(A42&lt;='Dados de entrada'!$B$45,'Dados de entrada'!$B$47,0)</f>
        <v>0</v>
      </c>
      <c r="AL42" s="93">
        <f>IF(AND(A42&gt;'Dados de entrada'!$B$45,A42&lt;='Dados de entrada'!$B$10),'Dados de entrada'!$B$48,0)</f>
        <v>0</v>
      </c>
      <c r="AM42" s="93">
        <f ca="1">AL42/((1+'Dados de entrada'!$D$49)^($AA42/360))</f>
        <v>0</v>
      </c>
      <c r="AN42" s="85">
        <f t="shared" si="9"/>
        <v>3000</v>
      </c>
    </row>
    <row r="43" spans="1:40">
      <c r="A43" s="69">
        <f>IF(A42="","",IF(A42+1&lt;='Dados de entrada'!$B$10,A42+1,""))</f>
        <v>40</v>
      </c>
      <c r="B43" s="70">
        <f t="shared" si="14"/>
        <v>47429</v>
      </c>
      <c r="C43" s="69">
        <f t="shared" si="15"/>
        <v>30</v>
      </c>
      <c r="D43" s="71">
        <f ca="1">IF(A43="","",F42*(1+'Dados de entrada'!$B$6)^(C43/30))</f>
        <v>21695.23402728737</v>
      </c>
      <c r="E43" s="71">
        <f ca="1">IF(A43="","",-'Dados de entrada'!$J$20)</f>
        <v>-615.26347669246445</v>
      </c>
      <c r="F43" s="71">
        <f t="shared" ca="1" si="16"/>
        <v>21079.970550594906</v>
      </c>
      <c r="G43" s="71">
        <f t="shared" ca="1" si="17"/>
        <v>81.939592637168971</v>
      </c>
      <c r="H43" s="69">
        <f t="shared" ca="1" si="18"/>
        <v>1217</v>
      </c>
      <c r="I43" s="71">
        <f ca="1">IF(A43="","",MIN(H43,365)*G43*'Dados de entrada'!$B$11+G43*'Dados de entrada'!$B$12)</f>
        <v>2.7638224596517094</v>
      </c>
      <c r="J43" s="71">
        <f t="shared" ca="1" si="19"/>
        <v>-3000</v>
      </c>
      <c r="K43" s="71">
        <f t="shared" ca="1" si="20"/>
        <v>-3000</v>
      </c>
      <c r="L43" s="72">
        <f ca="1">IF(A43="","",IF(A43&lt;='Dados de entrada'!$J$2,-V42,-V42*(1-'Dados de entrada'!$J$3)))</f>
        <v>3000</v>
      </c>
      <c r="M43" s="72">
        <f ca="1">IF(A43="","",L43*'Dados de entrada'!$E$4)</f>
        <v>60.599999999999994</v>
      </c>
      <c r="N43" s="72">
        <f ca="1">IF(A43="","",IF(A43&lt;='Dados de entrada'!$E$2,'Dados de entrada'!$E$13*'Dados de entrada'!$E$10/'Dados de entrada'!$B$10,'Dados de entrada'!$E$13*'Dados de entrada'!$E$10/'Dados de entrada'!$B$10*(1-'Dados de entrada'!$E$3)))</f>
        <v>0</v>
      </c>
      <c r="O43" s="71">
        <f ca="1">IF(A43="","",IF(AND(A43='Dados de entrada'!$E$2),(O42*(1+'Dados de entrada'!$B$6)-L43)*(1-'Dados de entrada'!$E$3),IF(AND(A43&lt;&gt;'Dados de entrada'!$A$2),O42*(1+'Dados de entrada'!$B$6)^(C43/30)-L43,"")))</f>
        <v>102785.08971757906</v>
      </c>
      <c r="P43" s="71">
        <f ca="1">IF(A43="","",(O42*((1+'Dados de entrada'!$B$6)^(-DAYS360(B43,B42)/30)-1)-O42*((1+'Dados de entrada'!$H$10)^(-DAYS360(B43,B42)/360)-1))*4.65%)</f>
        <v>93.90534434785701</v>
      </c>
      <c r="Q43" s="75">
        <f ca="1">IF(E43&lt;&gt;"",'Dados de entrada'!$H$5-E43*'Dados de entrada'!$H$6,"")</f>
        <v>0</v>
      </c>
      <c r="R43" s="71">
        <f ca="1">IF(A43="","",IF(A43='Dados de entrada'!$E$2,PV('Dados de entrada'!$B$6,'Dados de entrada'!$B$10-'Dados de entrada'!$E$2+1,+L43*(-'Dados de entrada'!$E$3),,1)+L43*(1-'Dados de entrada'!$E$3)-M43-N43-P43-Q43,L43-M43-N43-P43-Q43))</f>
        <v>2845.4946556521431</v>
      </c>
      <c r="S43" s="74">
        <f t="shared" ca="1" si="12"/>
        <v>1217</v>
      </c>
      <c r="T43" s="67">
        <f ca="1">IF(E43&lt;&gt;"",(-E43)/((1+'Dados de entrada'!$B$6)^(S43/30)),"")</f>
        <v>224.15933850093342</v>
      </c>
      <c r="U43" s="67">
        <f t="shared" ca="1" si="13"/>
        <v>272801.91495563596</v>
      </c>
      <c r="V43" s="71">
        <f ca="1">IF(F43="","",-'Dados de entrada'!$B$2)</f>
        <v>-3000</v>
      </c>
      <c r="X43" s="93">
        <f>+Resumo!$E$12-Resumo!$E$20</f>
        <v>0</v>
      </c>
      <c r="Y43" s="116">
        <f t="shared" si="10"/>
        <v>47429</v>
      </c>
      <c r="Z43" s="81">
        <v>30</v>
      </c>
      <c r="AA43" s="81">
        <f t="shared" ca="1" si="11"/>
        <v>1198</v>
      </c>
      <c r="AB43" s="93">
        <f>IF(A43&lt;='Dados de entrada'!$B$18,'Dados de entrada'!$B$20,0)</f>
        <v>3000</v>
      </c>
      <c r="AC43" s="93">
        <f>IF(OR(Resumo!$E$23&gt;0,Resumo!$E$28&gt;0,Resumo!$E$33&gt;0),IF(AND(A43&gt;'Dados de entrada'!$B$18,A43&lt;='Dados de entrada'!$B$10),'Dados de entrada'!$B$21,0),IF(AND(A43&gt;'Dados de entrada'!$B$18,A43&lt;='Dados de entrada'!$B$10),'Dados de entrada'!$B$21,IF(A43&lt;='Dados de entrada'!$B$18,X43,0)))</f>
        <v>0</v>
      </c>
      <c r="AD43" s="93">
        <f ca="1">AC43/((1+'Dados de entrada'!$D$22)^($AA43/360))</f>
        <v>0</v>
      </c>
      <c r="AE43" s="93">
        <f>IF(A43&lt;='Dados de entrada'!$B$27,'Dados de entrada'!$B$29,0)</f>
        <v>0</v>
      </c>
      <c r="AF43" s="93">
        <f>IF(AND(A43&gt;'Dados de entrada'!$B$27,A43&lt;='Dados de entrada'!$B$10),'Dados de entrada'!$B$30,0)</f>
        <v>0</v>
      </c>
      <c r="AG43" s="93">
        <f ca="1">AF43/((1+'Dados de entrada'!$D$31)^($AA43/360))</f>
        <v>0</v>
      </c>
      <c r="AH43" s="93">
        <f>IF(A43&lt;='Dados de entrada'!$B$36,'Dados de entrada'!$B$38,0)</f>
        <v>0</v>
      </c>
      <c r="AI43" s="93">
        <f>IF(AND(A43&gt;'Dados de entrada'!$B$36,A43&lt;='Dados de entrada'!$B$10),'Dados de entrada'!$B$39,0)</f>
        <v>0</v>
      </c>
      <c r="AJ43" s="93">
        <f ca="1">AI43/((1+'Dados de entrada'!$D$40)^($AA43/360))</f>
        <v>0</v>
      </c>
      <c r="AK43" s="93">
        <f>IF(A43&lt;='Dados de entrada'!$B$45,'Dados de entrada'!$B$47,0)</f>
        <v>0</v>
      </c>
      <c r="AL43" s="93">
        <f>IF(AND(A43&gt;'Dados de entrada'!$B$45,A43&lt;='Dados de entrada'!$B$10),'Dados de entrada'!$B$48,0)</f>
        <v>0</v>
      </c>
      <c r="AM43" s="93">
        <f ca="1">AL43/((1+'Dados de entrada'!$D$49)^($AA43/360))</f>
        <v>0</v>
      </c>
      <c r="AN43" s="85">
        <f t="shared" si="9"/>
        <v>3000</v>
      </c>
    </row>
    <row r="44" spans="1:40">
      <c r="A44" s="69">
        <f>IF(A43="","",IF(A43+1&lt;='Dados de entrada'!$B$10,A43+1,""))</f>
        <v>41</v>
      </c>
      <c r="B44" s="70">
        <f t="shared" si="14"/>
        <v>47459</v>
      </c>
      <c r="C44" s="69">
        <f t="shared" si="15"/>
        <v>30</v>
      </c>
      <c r="D44" s="71">
        <f ca="1">IF(A44="","",F43*(1+'Dados de entrada'!$B$6)^(C44/30))</f>
        <v>21611.229387520365</v>
      </c>
      <c r="E44" s="71">
        <f ca="1">IF(A44="","",-'Dados de entrada'!$J$20)</f>
        <v>-615.26347669246445</v>
      </c>
      <c r="F44" s="71">
        <f t="shared" ca="1" si="16"/>
        <v>20995.965910827901</v>
      </c>
      <c r="G44" s="71">
        <f t="shared" ca="1" si="17"/>
        <v>84.004639767004846</v>
      </c>
      <c r="H44" s="69">
        <f t="shared" ca="1" si="18"/>
        <v>1247</v>
      </c>
      <c r="I44" s="71">
        <f ca="1">IF(A44="","",MIN(H44,365)*G44*'Dados de entrada'!$B$11+G44*'Dados de entrada'!$B$12)</f>
        <v>2.8334764993410735</v>
      </c>
      <c r="J44" s="71">
        <f t="shared" ca="1" si="19"/>
        <v>-3000</v>
      </c>
      <c r="K44" s="71">
        <f t="shared" ca="1" si="20"/>
        <v>-3000</v>
      </c>
      <c r="L44" s="72">
        <f ca="1">IF(A44="","",IF(A44&lt;='Dados de entrada'!$J$2,-V43,-V43*(1-'Dados de entrada'!$J$3)))</f>
        <v>3000</v>
      </c>
      <c r="M44" s="72">
        <f ca="1">IF(A44="","",L44*'Dados de entrada'!$E$4)</f>
        <v>60.599999999999994</v>
      </c>
      <c r="N44" s="72">
        <f ca="1">IF(A44="","",IF(A44&lt;='Dados de entrada'!$E$2,'Dados de entrada'!$E$13*'Dados de entrada'!$E$10/'Dados de entrada'!$B$10,'Dados de entrada'!$E$13*'Dados de entrada'!$E$10/'Dados de entrada'!$B$10*(1-'Dados de entrada'!$E$3)))</f>
        <v>0</v>
      </c>
      <c r="O44" s="71">
        <f ca="1">IF(A44="","",IF(AND(A44='Dados de entrada'!$E$2),(O43*(1+'Dados de entrada'!$B$6)-L44)*(1-'Dados de entrada'!$E$3),IF(AND(A44&lt;&gt;'Dados de entrada'!$A$2),O43*(1+'Dados de entrada'!$B$6)^(C44/30)-L44,"")))</f>
        <v>102375.48646816175</v>
      </c>
      <c r="P44" s="71">
        <f ca="1">IF(A44="","",(O43*((1+'Dados de entrada'!$B$6)^(-DAYS360(B44,B43)/30)-1)-O43*((1+'Dados de entrada'!$H$10)^(-DAYS360(B44,B43)/360)-1))*4.65%)</f>
        <v>93.541739852315899</v>
      </c>
      <c r="Q44" s="75">
        <f ca="1">IF(E44&lt;&gt;"",'Dados de entrada'!$H$5-E44*'Dados de entrada'!$H$6,"")</f>
        <v>0</v>
      </c>
      <c r="R44" s="71">
        <f ca="1">IF(A44="","",IF(A44='Dados de entrada'!$E$2,PV('Dados de entrada'!$B$6,'Dados de entrada'!$B$10-'Dados de entrada'!$E$2+1,+L44*(-'Dados de entrada'!$E$3),,1)+L44*(1-'Dados de entrada'!$E$3)-M44-N44-P44-Q44,L44-M44-N44-P44-Q44))</f>
        <v>2845.8582601476842</v>
      </c>
      <c r="S44" s="74">
        <f t="shared" ca="1" si="12"/>
        <v>1247</v>
      </c>
      <c r="T44" s="67">
        <f ca="1">IF(E44&lt;&gt;"",(-E44)/((1+'Dados de entrada'!$B$6)^(S44/30)),"")</f>
        <v>218.6489333628179</v>
      </c>
      <c r="U44" s="67">
        <f t="shared" ca="1" si="13"/>
        <v>272655.21990343393</v>
      </c>
      <c r="V44" s="71">
        <f ca="1">IF(F44="","",-'Dados de entrada'!$B$2)</f>
        <v>-3000</v>
      </c>
      <c r="X44" s="93">
        <f>+Resumo!$E$12-Resumo!$E$20</f>
        <v>0</v>
      </c>
      <c r="Y44" s="116">
        <f t="shared" si="10"/>
        <v>47459</v>
      </c>
      <c r="Z44" s="81">
        <v>30</v>
      </c>
      <c r="AA44" s="81">
        <f t="shared" ca="1" si="11"/>
        <v>1228</v>
      </c>
      <c r="AB44" s="93">
        <f>IF(A44&lt;='Dados de entrada'!$B$18,'Dados de entrada'!$B$20,0)</f>
        <v>3000</v>
      </c>
      <c r="AC44" s="93">
        <f>IF(OR(Resumo!$E$23&gt;0,Resumo!$E$28&gt;0,Resumo!$E$33&gt;0),IF(AND(A44&gt;'Dados de entrada'!$B$18,A44&lt;='Dados de entrada'!$B$10),'Dados de entrada'!$B$21,0),IF(AND(A44&gt;'Dados de entrada'!$B$18,A44&lt;='Dados de entrada'!$B$10),'Dados de entrada'!$B$21,IF(A44&lt;='Dados de entrada'!$B$18,X44,0)))</f>
        <v>0</v>
      </c>
      <c r="AD44" s="93">
        <f ca="1">AC44/((1+'Dados de entrada'!$D$22)^($AA44/360))</f>
        <v>0</v>
      </c>
      <c r="AE44" s="93">
        <f>IF(A44&lt;='Dados de entrada'!$B$27,'Dados de entrada'!$B$29,0)</f>
        <v>0</v>
      </c>
      <c r="AF44" s="93">
        <f>IF(AND(A44&gt;'Dados de entrada'!$B$27,A44&lt;='Dados de entrada'!$B$10),'Dados de entrada'!$B$30,0)</f>
        <v>0</v>
      </c>
      <c r="AG44" s="93">
        <f ca="1">AF44/((1+'Dados de entrada'!$D$31)^($AA44/360))</f>
        <v>0</v>
      </c>
      <c r="AH44" s="93">
        <f>IF(A44&lt;='Dados de entrada'!$B$36,'Dados de entrada'!$B$38,0)</f>
        <v>0</v>
      </c>
      <c r="AI44" s="93">
        <f>IF(AND(A44&gt;'Dados de entrada'!$B$36,A44&lt;='Dados de entrada'!$B$10),'Dados de entrada'!$B$39,0)</f>
        <v>0</v>
      </c>
      <c r="AJ44" s="93">
        <f ca="1">AI44/((1+'Dados de entrada'!$D$40)^($AA44/360))</f>
        <v>0</v>
      </c>
      <c r="AK44" s="93">
        <f>IF(A44&lt;='Dados de entrada'!$B$45,'Dados de entrada'!$B$47,0)</f>
        <v>0</v>
      </c>
      <c r="AL44" s="93">
        <f>IF(AND(A44&gt;'Dados de entrada'!$B$45,A44&lt;='Dados de entrada'!$B$10),'Dados de entrada'!$B$48,0)</f>
        <v>0</v>
      </c>
      <c r="AM44" s="93">
        <f ca="1">AL44/((1+'Dados de entrada'!$D$49)^($AA44/360))</f>
        <v>0</v>
      </c>
      <c r="AN44" s="85">
        <f t="shared" si="9"/>
        <v>3000</v>
      </c>
    </row>
    <row r="45" spans="1:40">
      <c r="A45" s="69">
        <f>IF(A44="","",IF(A44+1&lt;='Dados de entrada'!$B$10,A44+1,""))</f>
        <v>42</v>
      </c>
      <c r="B45" s="70">
        <f t="shared" si="14"/>
        <v>47490</v>
      </c>
      <c r="C45" s="69">
        <f t="shared" si="15"/>
        <v>30</v>
      </c>
      <c r="D45" s="71">
        <f ca="1">IF(A45="","",F44*(1+'Dados de entrada'!$B$6)^(C45/30))</f>
        <v>21525.107657166736</v>
      </c>
      <c r="E45" s="71">
        <f ca="1">IF(A45="","",-'Dados de entrada'!$J$20)</f>
        <v>-615.26347669246445</v>
      </c>
      <c r="F45" s="71">
        <f t="shared" ca="1" si="16"/>
        <v>20909.844180474272</v>
      </c>
      <c r="G45" s="71">
        <f t="shared" ca="1" si="17"/>
        <v>86.121730353628664</v>
      </c>
      <c r="H45" s="69">
        <f t="shared" ca="1" si="18"/>
        <v>1278</v>
      </c>
      <c r="I45" s="71">
        <f ca="1">IF(A45="","",MIN(H45,365)*G45*'Dados de entrada'!$B$11+G45*'Dados de entrada'!$B$12)</f>
        <v>2.9048859648278946</v>
      </c>
      <c r="J45" s="71">
        <f t="shared" ca="1" si="19"/>
        <v>-3000</v>
      </c>
      <c r="K45" s="71">
        <f t="shared" ca="1" si="20"/>
        <v>-3000</v>
      </c>
      <c r="L45" s="72">
        <f ca="1">IF(A45="","",IF(A45&lt;='Dados de entrada'!$J$2,-V44,-V44*(1-'Dados de entrada'!$J$3)))</f>
        <v>3000</v>
      </c>
      <c r="M45" s="72">
        <f ca="1">IF(A45="","",L45*'Dados de entrada'!$E$4)</f>
        <v>60.599999999999994</v>
      </c>
      <c r="N45" s="72">
        <f ca="1">IF(A45="","",IF(A45&lt;='Dados de entrada'!$E$2,'Dados de entrada'!$E$13*'Dados de entrada'!$E$10/'Dados de entrada'!$B$10,'Dados de entrada'!$E$13*'Dados de entrada'!$E$10/'Dados de entrada'!$B$10*(1-'Dados de entrada'!$E$3)))</f>
        <v>0</v>
      </c>
      <c r="O45" s="71">
        <f ca="1">IF(A45="","",IF(AND(A45='Dados de entrada'!$E$2),(O44*(1+'Dados de entrada'!$B$6)-L45)*(1-'Dados de entrada'!$E$3),IF(AND(A45&lt;&gt;'Dados de entrada'!$A$2),O44*(1+'Dados de entrada'!$B$6)^(C45/30)-L45,"")))</f>
        <v>101955.56037007802</v>
      </c>
      <c r="P45" s="71">
        <f ca="1">IF(A45="","",(O44*((1+'Dados de entrada'!$B$6)^(-DAYS360(B45,B44)/30)-1)-O44*((1+'Dados de entrada'!$H$10)^(-DAYS360(B45,B44)/360)-1))*4.65%)</f>
        <v>93.168971771800159</v>
      </c>
      <c r="Q45" s="75">
        <f ca="1">IF(E45&lt;&gt;"",'Dados de entrada'!$H$5-E45*'Dados de entrada'!$H$6,"")</f>
        <v>0</v>
      </c>
      <c r="R45" s="71">
        <f ca="1">IF(A45="","",IF(A45='Dados de entrada'!$E$2,PV('Dados de entrada'!$B$6,'Dados de entrada'!$B$10-'Dados de entrada'!$E$2+1,+L45*(-'Dados de entrada'!$E$3),,1)+L45*(1-'Dados de entrada'!$E$3)-M45-N45-P45-Q45,L45-M45-N45-P45-Q45))</f>
        <v>2846.2310282282001</v>
      </c>
      <c r="S45" s="74">
        <f t="shared" ca="1" si="12"/>
        <v>1278</v>
      </c>
      <c r="T45" s="67">
        <f ca="1">IF(E45&lt;&gt;"",(-E45)/((1+'Dados de entrada'!$B$6)^(S45/30)),"")</f>
        <v>213.09711692842569</v>
      </c>
      <c r="U45" s="67">
        <f t="shared" ca="1" si="13"/>
        <v>272338.11543452804</v>
      </c>
      <c r="V45" s="71">
        <f ca="1">IF(F45="","",-'Dados de entrada'!$B$2)</f>
        <v>-3000</v>
      </c>
      <c r="X45" s="93">
        <f>+Resumo!$E$12-Resumo!$E$20</f>
        <v>0</v>
      </c>
      <c r="Y45" s="116">
        <f t="shared" si="10"/>
        <v>47490</v>
      </c>
      <c r="Z45" s="81">
        <v>30</v>
      </c>
      <c r="AA45" s="81">
        <f t="shared" ca="1" si="11"/>
        <v>1258</v>
      </c>
      <c r="AB45" s="93">
        <f>IF(A45&lt;='Dados de entrada'!$B$18,'Dados de entrada'!$B$20,0)</f>
        <v>3000</v>
      </c>
      <c r="AC45" s="93">
        <f>IF(OR(Resumo!$E$23&gt;0,Resumo!$E$28&gt;0,Resumo!$E$33&gt;0),IF(AND(A45&gt;'Dados de entrada'!$B$18,A45&lt;='Dados de entrada'!$B$10),'Dados de entrada'!$B$21,0),IF(AND(A45&gt;'Dados de entrada'!$B$18,A45&lt;='Dados de entrada'!$B$10),'Dados de entrada'!$B$21,IF(A45&lt;='Dados de entrada'!$B$18,X45,0)))</f>
        <v>0</v>
      </c>
      <c r="AD45" s="93">
        <f ca="1">AC45/((1+'Dados de entrada'!$D$22)^($AA45/360))</f>
        <v>0</v>
      </c>
      <c r="AE45" s="93">
        <f>IF(A45&lt;='Dados de entrada'!$B$27,'Dados de entrada'!$B$29,0)</f>
        <v>0</v>
      </c>
      <c r="AF45" s="93">
        <f>IF(AND(A45&gt;'Dados de entrada'!$B$27,A45&lt;='Dados de entrada'!$B$10),'Dados de entrada'!$B$30,0)</f>
        <v>0</v>
      </c>
      <c r="AG45" s="93">
        <f ca="1">AF45/((1+'Dados de entrada'!$D$31)^($AA45/360))</f>
        <v>0</v>
      </c>
      <c r="AH45" s="93">
        <f>IF(A45&lt;='Dados de entrada'!$B$36,'Dados de entrada'!$B$38,0)</f>
        <v>0</v>
      </c>
      <c r="AI45" s="93">
        <f>IF(AND(A45&gt;'Dados de entrada'!$B$36,A45&lt;='Dados de entrada'!$B$10),'Dados de entrada'!$B$39,0)</f>
        <v>0</v>
      </c>
      <c r="AJ45" s="93">
        <f ca="1">AI45/((1+'Dados de entrada'!$D$40)^($AA45/360))</f>
        <v>0</v>
      </c>
      <c r="AK45" s="93">
        <f>IF(A45&lt;='Dados de entrada'!$B$45,'Dados de entrada'!$B$47,0)</f>
        <v>0</v>
      </c>
      <c r="AL45" s="93">
        <f>IF(AND(A45&gt;'Dados de entrada'!$B$45,A45&lt;='Dados de entrada'!$B$10),'Dados de entrada'!$B$48,0)</f>
        <v>0</v>
      </c>
      <c r="AM45" s="93">
        <f ca="1">AL45/((1+'Dados de entrada'!$D$49)^($AA45/360))</f>
        <v>0</v>
      </c>
      <c r="AN45" s="85">
        <f t="shared" si="9"/>
        <v>3000</v>
      </c>
    </row>
    <row r="46" spans="1:40">
      <c r="A46" s="69">
        <f>IF(A45="","",IF(A45+1&lt;='Dados de entrada'!$B$10,A45+1,""))</f>
        <v>43</v>
      </c>
      <c r="B46" s="70">
        <f t="shared" si="14"/>
        <v>47521</v>
      </c>
      <c r="C46" s="69">
        <f t="shared" si="15"/>
        <v>30</v>
      </c>
      <c r="D46" s="71">
        <f ca="1">IF(A46="","",F45*(1+'Dados de entrada'!$B$6)^(C46/30))</f>
        <v>21436.815481166996</v>
      </c>
      <c r="E46" s="71">
        <f ca="1">IF(A46="","",-'Dados de entrada'!$J$20)</f>
        <v>-615.26347669246445</v>
      </c>
      <c r="F46" s="71">
        <f t="shared" ca="1" si="16"/>
        <v>20821.552004474532</v>
      </c>
      <c r="G46" s="71">
        <f t="shared" ca="1" si="17"/>
        <v>88.292175999740721</v>
      </c>
      <c r="H46" s="69">
        <f t="shared" ca="1" si="18"/>
        <v>1309</v>
      </c>
      <c r="I46" s="71">
        <f ca="1">IF(A46="","",MIN(H46,365)*G46*'Dados de entrada'!$B$11+G46*'Dados de entrada'!$B$12)</f>
        <v>2.9780950964712547</v>
      </c>
      <c r="J46" s="71">
        <f t="shared" ca="1" si="19"/>
        <v>-3000</v>
      </c>
      <c r="K46" s="71">
        <f t="shared" ca="1" si="20"/>
        <v>-3000</v>
      </c>
      <c r="L46" s="72">
        <f ca="1">IF(A46="","",IF(A46&lt;='Dados de entrada'!$J$2,-V45,-V45*(1-'Dados de entrada'!$J$3)))</f>
        <v>3000</v>
      </c>
      <c r="M46" s="72">
        <f ca="1">IF(A46="","",L46*'Dados de entrada'!$E$4)</f>
        <v>60.599999999999994</v>
      </c>
      <c r="N46" s="72">
        <f ca="1">IF(A46="","",IF(A46&lt;='Dados de entrada'!$E$2,'Dados de entrada'!$E$13*'Dados de entrada'!$E$10/'Dados de entrada'!$B$10,'Dados de entrada'!$E$13*'Dados de entrada'!$E$10/'Dados de entrada'!$B$10*(1-'Dados de entrada'!$E$3)))</f>
        <v>0</v>
      </c>
      <c r="O46" s="71">
        <f ca="1">IF(A46="","",IF(AND(A46='Dados de entrada'!$E$2),(O45*(1+'Dados de entrada'!$B$6)-L46)*(1-'Dados de entrada'!$E$3),IF(AND(A46&lt;&gt;'Dados de entrada'!$A$2),O45*(1+'Dados de entrada'!$B$6)^(C46/30)-L46,"")))</f>
        <v>101525.05126620084</v>
      </c>
      <c r="P46" s="71">
        <f ca="1">IF(A46="","",(O45*((1+'Dados de entrada'!$B$6)^(-DAYS360(B46,B45)/30)-1)-O45*((1+'Dados de entrada'!$H$10)^(-DAYS360(B46,B45)/360)-1))*4.65%)</f>
        <v>92.786809165024437</v>
      </c>
      <c r="Q46" s="75">
        <f ca="1">IF(E46&lt;&gt;"",'Dados de entrada'!$H$5-E46*'Dados de entrada'!$H$6,"")</f>
        <v>0</v>
      </c>
      <c r="R46" s="71">
        <f ca="1">IF(A46="","",IF(A46='Dados de entrada'!$E$2,PV('Dados de entrada'!$B$6,'Dados de entrada'!$B$10-'Dados de entrada'!$E$2+1,+L46*(-'Dados de entrada'!$E$3),,1)+L46*(1-'Dados de entrada'!$E$3)-M46-N46-P46-Q46,L46-M46-N46-P46-Q46))</f>
        <v>2846.6131908349757</v>
      </c>
      <c r="S46" s="74">
        <f t="shared" ca="1" si="12"/>
        <v>1309</v>
      </c>
      <c r="T46" s="67">
        <f ca="1">IF(E46&lt;&gt;"",(-E46)/((1+'Dados de entrada'!$B$6)^(S46/30)),"")</f>
        <v>207.68626923898518</v>
      </c>
      <c r="U46" s="67">
        <f t="shared" ca="1" si="13"/>
        <v>271861.32643383159</v>
      </c>
      <c r="V46" s="71">
        <f ca="1">IF(F46="","",-'Dados de entrada'!$B$2)</f>
        <v>-3000</v>
      </c>
      <c r="X46" s="93">
        <f>+Resumo!$E$12-Resumo!$E$20</f>
        <v>0</v>
      </c>
      <c r="Y46" s="116">
        <f t="shared" si="10"/>
        <v>47521</v>
      </c>
      <c r="Z46" s="81">
        <v>30</v>
      </c>
      <c r="AA46" s="81">
        <f t="shared" ca="1" si="11"/>
        <v>1288</v>
      </c>
      <c r="AB46" s="93">
        <f>IF(A46&lt;='Dados de entrada'!$B$18,'Dados de entrada'!$B$20,0)</f>
        <v>3000</v>
      </c>
      <c r="AC46" s="93">
        <f>IF(OR(Resumo!$E$23&gt;0,Resumo!$E$28&gt;0,Resumo!$E$33&gt;0),IF(AND(A46&gt;'Dados de entrada'!$B$18,A46&lt;='Dados de entrada'!$B$10),'Dados de entrada'!$B$21,0),IF(AND(A46&gt;'Dados de entrada'!$B$18,A46&lt;='Dados de entrada'!$B$10),'Dados de entrada'!$B$21,IF(A46&lt;='Dados de entrada'!$B$18,X46,0)))</f>
        <v>0</v>
      </c>
      <c r="AD46" s="93">
        <f ca="1">AC46/((1+'Dados de entrada'!$D$22)^($AA46/360))</f>
        <v>0</v>
      </c>
      <c r="AE46" s="93">
        <f>IF(A46&lt;='Dados de entrada'!$B$27,'Dados de entrada'!$B$29,0)</f>
        <v>0</v>
      </c>
      <c r="AF46" s="93">
        <f>IF(AND(A46&gt;'Dados de entrada'!$B$27,A46&lt;='Dados de entrada'!$B$10),'Dados de entrada'!$B$30,0)</f>
        <v>0</v>
      </c>
      <c r="AG46" s="93">
        <f ca="1">AF46/((1+'Dados de entrada'!$D$31)^($AA46/360))</f>
        <v>0</v>
      </c>
      <c r="AH46" s="93">
        <f>IF(A46&lt;='Dados de entrada'!$B$36,'Dados de entrada'!$B$38,0)</f>
        <v>0</v>
      </c>
      <c r="AI46" s="93">
        <f>IF(AND(A46&gt;'Dados de entrada'!$B$36,A46&lt;='Dados de entrada'!$B$10),'Dados de entrada'!$B$39,0)</f>
        <v>0</v>
      </c>
      <c r="AJ46" s="93">
        <f ca="1">AI46/((1+'Dados de entrada'!$D$40)^($AA46/360))</f>
        <v>0</v>
      </c>
      <c r="AK46" s="93">
        <f>IF(A46&lt;='Dados de entrada'!$B$45,'Dados de entrada'!$B$47,0)</f>
        <v>0</v>
      </c>
      <c r="AL46" s="93">
        <f>IF(AND(A46&gt;'Dados de entrada'!$B$45,A46&lt;='Dados de entrada'!$B$10),'Dados de entrada'!$B$48,0)</f>
        <v>0</v>
      </c>
      <c r="AM46" s="93">
        <f ca="1">AL46/((1+'Dados de entrada'!$D$49)^($AA46/360))</f>
        <v>0</v>
      </c>
      <c r="AN46" s="85">
        <f t="shared" si="9"/>
        <v>3000</v>
      </c>
    </row>
    <row r="47" spans="1:40">
      <c r="A47" s="69">
        <f>IF(A46="","",IF(A46+1&lt;='Dados de entrada'!$B$10,A46+1,""))</f>
        <v>44</v>
      </c>
      <c r="B47" s="70">
        <f t="shared" si="14"/>
        <v>47549</v>
      </c>
      <c r="C47" s="69">
        <f t="shared" si="15"/>
        <v>30</v>
      </c>
      <c r="D47" s="71">
        <f ca="1">IF(A47="","",F46*(1+'Dados de entrada'!$B$6)^(C47/30))</f>
        <v>21346.298159803857</v>
      </c>
      <c r="E47" s="71">
        <f ca="1">IF(A47="","",-'Dados de entrada'!$J$20)</f>
        <v>-615.26347669246445</v>
      </c>
      <c r="F47" s="71">
        <f t="shared" ca="1" si="16"/>
        <v>20731.034683111393</v>
      </c>
      <c r="G47" s="71">
        <f t="shared" ca="1" si="17"/>
        <v>90.517321363138763</v>
      </c>
      <c r="H47" s="69">
        <f t="shared" ca="1" si="18"/>
        <v>1337</v>
      </c>
      <c r="I47" s="71">
        <f ca="1">IF(A47="","",MIN(H47,365)*G47*'Dados de entrada'!$B$11+G47*'Dados de entrada'!$B$12)</f>
        <v>3.0531492495786705</v>
      </c>
      <c r="J47" s="71">
        <f t="shared" ca="1" si="19"/>
        <v>-3000</v>
      </c>
      <c r="K47" s="71">
        <f t="shared" ca="1" si="20"/>
        <v>-3000</v>
      </c>
      <c r="L47" s="72">
        <f ca="1">IF(A47="","",IF(A47&lt;='Dados de entrada'!$J$2,-V46,-V46*(1-'Dados de entrada'!$J$3)))</f>
        <v>3000</v>
      </c>
      <c r="M47" s="72">
        <f ca="1">IF(A47="","",L47*'Dados de entrada'!$E$4)</f>
        <v>60.599999999999994</v>
      </c>
      <c r="N47" s="72">
        <f ca="1">IF(A47="","",IF(A47&lt;='Dados de entrada'!$E$2,'Dados de entrada'!$E$13*'Dados de entrada'!$E$10/'Dados de entrada'!$B$10,'Dados de entrada'!$E$13*'Dados de entrada'!$E$10/'Dados de entrada'!$B$10*(1-'Dados de entrada'!$E$3)))</f>
        <v>0</v>
      </c>
      <c r="O47" s="71">
        <f ca="1">IF(A47="","",IF(AND(A47='Dados de entrada'!$E$2),(O46*(1+'Dados de entrada'!$B$6)-L47)*(1-'Dados de entrada'!$E$3),IF(AND(A47&lt;&gt;'Dados de entrada'!$A$2),O46*(1+'Dados de entrada'!$B$6)^(C47/30)-L47,"")))</f>
        <v>101083.69244290577</v>
      </c>
      <c r="P47" s="71">
        <f ca="1">IF(A47="","",(O46*((1+'Dados de entrada'!$B$6)^(-DAYS360(B47,B46)/30)-1)-O46*((1+'Dados de entrada'!$H$10)^(-DAYS360(B47,B46)/360)-1))*4.65%)</f>
        <v>92.395015270505496</v>
      </c>
      <c r="Q47" s="75">
        <f ca="1">IF(E47&lt;&gt;"",'Dados de entrada'!$H$5-E47*'Dados de entrada'!$H$6,"")</f>
        <v>0</v>
      </c>
      <c r="R47" s="71">
        <f ca="1">IF(A47="","",IF(A47='Dados de entrada'!$E$2,PV('Dados de entrada'!$B$6,'Dados de entrada'!$B$10-'Dados de entrada'!$E$2+1,+L47*(-'Dados de entrada'!$E$3),,1)+L47*(1-'Dados de entrada'!$E$3)-M47-N47-P47-Q47,L47-M47-N47-P47-Q47))</f>
        <v>2847.0049847294945</v>
      </c>
      <c r="S47" s="74">
        <f t="shared" ca="1" si="12"/>
        <v>1337</v>
      </c>
      <c r="T47" s="67">
        <f ca="1">IF(E47&lt;&gt;"",(-E47)/((1+'Dados de entrada'!$B$6)^(S47/30)),"")</f>
        <v>202.91723844651258</v>
      </c>
      <c r="U47" s="67">
        <f t="shared" ca="1" si="13"/>
        <v>271300.34780298732</v>
      </c>
      <c r="V47" s="71">
        <f ca="1">IF(F47="","",-'Dados de entrada'!$B$2)</f>
        <v>-3000</v>
      </c>
      <c r="X47" s="93">
        <f>+Resumo!$E$12-Resumo!$E$20</f>
        <v>0</v>
      </c>
      <c r="Y47" s="116">
        <f t="shared" si="10"/>
        <v>47549</v>
      </c>
      <c r="Z47" s="81">
        <v>30</v>
      </c>
      <c r="AA47" s="81">
        <f t="shared" ca="1" si="11"/>
        <v>1318</v>
      </c>
      <c r="AB47" s="93">
        <f>IF(A47&lt;='Dados de entrada'!$B$18,'Dados de entrada'!$B$20,0)</f>
        <v>3000</v>
      </c>
      <c r="AC47" s="93">
        <f>IF(OR(Resumo!$E$23&gt;0,Resumo!$E$28&gt;0,Resumo!$E$33&gt;0),IF(AND(A47&gt;'Dados de entrada'!$B$18,A47&lt;='Dados de entrada'!$B$10),'Dados de entrada'!$B$21,0),IF(AND(A47&gt;'Dados de entrada'!$B$18,A47&lt;='Dados de entrada'!$B$10),'Dados de entrada'!$B$21,IF(A47&lt;='Dados de entrada'!$B$18,X47,0)))</f>
        <v>0</v>
      </c>
      <c r="AD47" s="93">
        <f ca="1">AC47/((1+'Dados de entrada'!$D$22)^($AA47/360))</f>
        <v>0</v>
      </c>
      <c r="AE47" s="93">
        <f>IF(A47&lt;='Dados de entrada'!$B$27,'Dados de entrada'!$B$29,0)</f>
        <v>0</v>
      </c>
      <c r="AF47" s="93">
        <f>IF(AND(A47&gt;'Dados de entrada'!$B$27,A47&lt;='Dados de entrada'!$B$10),'Dados de entrada'!$B$30,0)</f>
        <v>0</v>
      </c>
      <c r="AG47" s="93">
        <f ca="1">AF47/((1+'Dados de entrada'!$D$31)^($AA47/360))</f>
        <v>0</v>
      </c>
      <c r="AH47" s="93">
        <f>IF(A47&lt;='Dados de entrada'!$B$36,'Dados de entrada'!$B$38,0)</f>
        <v>0</v>
      </c>
      <c r="AI47" s="93">
        <f>IF(AND(A47&gt;'Dados de entrada'!$B$36,A47&lt;='Dados de entrada'!$B$10),'Dados de entrada'!$B$39,0)</f>
        <v>0</v>
      </c>
      <c r="AJ47" s="93">
        <f ca="1">AI47/((1+'Dados de entrada'!$D$40)^($AA47/360))</f>
        <v>0</v>
      </c>
      <c r="AK47" s="93">
        <f>IF(A47&lt;='Dados de entrada'!$B$45,'Dados de entrada'!$B$47,0)</f>
        <v>0</v>
      </c>
      <c r="AL47" s="93">
        <f>IF(AND(A47&gt;'Dados de entrada'!$B$45,A47&lt;='Dados de entrada'!$B$10),'Dados de entrada'!$B$48,0)</f>
        <v>0</v>
      </c>
      <c r="AM47" s="93">
        <f ca="1">AL47/((1+'Dados de entrada'!$D$49)^($AA47/360))</f>
        <v>0</v>
      </c>
      <c r="AN47" s="85">
        <f t="shared" si="9"/>
        <v>3000</v>
      </c>
    </row>
    <row r="48" spans="1:40">
      <c r="A48" s="69">
        <f>IF(A47="","",IF(A47+1&lt;='Dados de entrada'!$B$10,A47+1,""))</f>
        <v>45</v>
      </c>
      <c r="B48" s="70">
        <f t="shared" si="14"/>
        <v>47580</v>
      </c>
      <c r="C48" s="69">
        <f t="shared" si="15"/>
        <v>30</v>
      </c>
      <c r="D48" s="71">
        <f ca="1">IF(A48="","",F47*(1+'Dados de entrada'!$B$6)^(C48/30))</f>
        <v>21253.499614814074</v>
      </c>
      <c r="E48" s="71">
        <f ca="1">IF(A48="","",-'Dados de entrada'!$J$20)</f>
        <v>-615.26347669246445</v>
      </c>
      <c r="F48" s="71">
        <f t="shared" ca="1" si="16"/>
        <v>20638.236138121611</v>
      </c>
      <c r="G48" s="71">
        <f t="shared" ca="1" si="17"/>
        <v>92.798544989782386</v>
      </c>
      <c r="H48" s="69">
        <f t="shared" ca="1" si="18"/>
        <v>1368</v>
      </c>
      <c r="I48" s="71">
        <f ca="1">IF(A48="","",MIN(H48,365)*G48*'Dados de entrada'!$B$11+G48*'Dados de entrada'!$B$12)</f>
        <v>3.1300949225053598</v>
      </c>
      <c r="J48" s="71">
        <f t="shared" ca="1" si="19"/>
        <v>-3000</v>
      </c>
      <c r="K48" s="71">
        <f t="shared" ca="1" si="20"/>
        <v>-3000</v>
      </c>
      <c r="L48" s="72">
        <f ca="1">IF(A48="","",IF(A48&lt;='Dados de entrada'!$J$2,-V47,-V47*(1-'Dados de entrada'!$J$3)))</f>
        <v>3000</v>
      </c>
      <c r="M48" s="72">
        <f ca="1">IF(A48="","",L48*'Dados de entrada'!$E$4)</f>
        <v>60.599999999999994</v>
      </c>
      <c r="N48" s="72">
        <f ca="1">IF(A48="","",IF(A48&lt;='Dados de entrada'!$E$2,'Dados de entrada'!$E$13*'Dados de entrada'!$E$10/'Dados de entrada'!$B$10,'Dados de entrada'!$E$13*'Dados de entrada'!$E$10/'Dados de entrada'!$B$10*(1-'Dados de entrada'!$E$3)))</f>
        <v>0</v>
      </c>
      <c r="O48" s="71">
        <f ca="1">IF(A48="","",IF(AND(A48='Dados de entrada'!$E$2),(O47*(1+'Dados de entrada'!$B$6)-L48)*(1-'Dados de entrada'!$E$3),IF(AND(A48&lt;&gt;'Dados de entrada'!$A$2),O47*(1+'Dados de entrada'!$B$6)^(C48/30)-L48,"")))</f>
        <v>100631.21046483361</v>
      </c>
      <c r="P48" s="71">
        <f ca="1">IF(A48="","",(O47*((1+'Dados de entrada'!$B$6)^(-DAYS360(B48,B47)/30)-1)-O47*((1+'Dados de entrada'!$H$10)^(-DAYS360(B48,B47)/360)-1))*4.65%)</f>
        <v>91.993347359881156</v>
      </c>
      <c r="Q48" s="75">
        <f ca="1">IF(E48&lt;&gt;"",'Dados de entrada'!$H$5-E48*'Dados de entrada'!$H$6,"")</f>
        <v>0</v>
      </c>
      <c r="R48" s="71">
        <f ca="1">IF(A48="","",IF(A48='Dados de entrada'!$E$2,PV('Dados de entrada'!$B$6,'Dados de entrada'!$B$10-'Dados de entrada'!$E$2+1,+L48*(-'Dados de entrada'!$E$3),,1)+L48*(1-'Dados de entrada'!$E$3)-M48-N48-P48-Q48,L48-M48-N48-P48-Q48))</f>
        <v>2847.4066526401189</v>
      </c>
      <c r="S48" s="74">
        <f t="shared" ca="1" si="12"/>
        <v>1368</v>
      </c>
      <c r="T48" s="67">
        <f ca="1">IF(E48&lt;&gt;"",(-E48)/((1+'Dados de entrada'!$B$6)^(S48/30)),"")</f>
        <v>197.76487277107861</v>
      </c>
      <c r="U48" s="67">
        <f t="shared" ca="1" si="13"/>
        <v>270542.34595083556</v>
      </c>
      <c r="V48" s="71">
        <f ca="1">IF(F48="","",-'Dados de entrada'!$B$2)</f>
        <v>-3000</v>
      </c>
      <c r="X48" s="93">
        <f>+Resumo!$E$12-Resumo!$E$20</f>
        <v>0</v>
      </c>
      <c r="Y48" s="116">
        <f t="shared" si="10"/>
        <v>47580</v>
      </c>
      <c r="Z48" s="81">
        <v>30</v>
      </c>
      <c r="AA48" s="81">
        <f t="shared" ca="1" si="11"/>
        <v>1348</v>
      </c>
      <c r="AB48" s="93">
        <f>IF(A48&lt;='Dados de entrada'!$B$18,'Dados de entrada'!$B$20,0)</f>
        <v>3000</v>
      </c>
      <c r="AC48" s="93">
        <f>IF(OR(Resumo!$E$23&gt;0,Resumo!$E$28&gt;0,Resumo!$E$33&gt;0),IF(AND(A48&gt;'Dados de entrada'!$B$18,A48&lt;='Dados de entrada'!$B$10),'Dados de entrada'!$B$21,0),IF(AND(A48&gt;'Dados de entrada'!$B$18,A48&lt;='Dados de entrada'!$B$10),'Dados de entrada'!$B$21,IF(A48&lt;='Dados de entrada'!$B$18,X48,0)))</f>
        <v>0</v>
      </c>
      <c r="AD48" s="93">
        <f ca="1">AC48/((1+'Dados de entrada'!$D$22)^($AA48/360))</f>
        <v>0</v>
      </c>
      <c r="AE48" s="93">
        <f>IF(A48&lt;='Dados de entrada'!$B$27,'Dados de entrada'!$B$29,0)</f>
        <v>0</v>
      </c>
      <c r="AF48" s="93">
        <f>IF(AND(A48&gt;'Dados de entrada'!$B$27,A48&lt;='Dados de entrada'!$B$10),'Dados de entrada'!$B$30,0)</f>
        <v>0</v>
      </c>
      <c r="AG48" s="93">
        <f ca="1">AF48/((1+'Dados de entrada'!$D$31)^($AA48/360))</f>
        <v>0</v>
      </c>
      <c r="AH48" s="93">
        <f>IF(A48&lt;='Dados de entrada'!$B$36,'Dados de entrada'!$B$38,0)</f>
        <v>0</v>
      </c>
      <c r="AI48" s="93">
        <f>IF(AND(A48&gt;'Dados de entrada'!$B$36,A48&lt;='Dados de entrada'!$B$10),'Dados de entrada'!$B$39,0)</f>
        <v>0</v>
      </c>
      <c r="AJ48" s="93">
        <f ca="1">AI48/((1+'Dados de entrada'!$D$40)^($AA48/360))</f>
        <v>0</v>
      </c>
      <c r="AK48" s="93">
        <f>IF(A48&lt;='Dados de entrada'!$B$45,'Dados de entrada'!$B$47,0)</f>
        <v>0</v>
      </c>
      <c r="AL48" s="93">
        <f>IF(AND(A48&gt;'Dados de entrada'!$B$45,A48&lt;='Dados de entrada'!$B$10),'Dados de entrada'!$B$48,0)</f>
        <v>0</v>
      </c>
      <c r="AM48" s="93">
        <f ca="1">AL48/((1+'Dados de entrada'!$D$49)^($AA48/360))</f>
        <v>0</v>
      </c>
      <c r="AN48" s="85">
        <f t="shared" si="9"/>
        <v>3000</v>
      </c>
    </row>
    <row r="49" spans="1:40">
      <c r="A49" s="69">
        <f>IF(A48="","",IF(A48+1&lt;='Dados de entrada'!$B$10,A48+1,""))</f>
        <v>46</v>
      </c>
      <c r="B49" s="70">
        <f t="shared" si="14"/>
        <v>47610</v>
      </c>
      <c r="C49" s="69">
        <f t="shared" si="15"/>
        <v>30</v>
      </c>
      <c r="D49" s="71">
        <f ca="1">IF(A49="","",F48*(1+'Dados de entrada'!$B$6)^(C49/30))</f>
        <v>21158.362354646233</v>
      </c>
      <c r="E49" s="71">
        <f ca="1">IF(A49="","",-'Dados de entrada'!$J$20)</f>
        <v>-615.26347669246445</v>
      </c>
      <c r="F49" s="71">
        <f t="shared" ca="1" si="16"/>
        <v>20543.098877953769</v>
      </c>
      <c r="G49" s="71">
        <f t="shared" ca="1" si="17"/>
        <v>95.137260167841305</v>
      </c>
      <c r="H49" s="69">
        <f t="shared" ca="1" si="18"/>
        <v>1398</v>
      </c>
      <c r="I49" s="71">
        <f ca="1">IF(A49="","",MIN(H49,365)*G49*'Dados de entrada'!$B$11+G49*'Dados de entrada'!$B$12)</f>
        <v>3.2089797854612874</v>
      </c>
      <c r="J49" s="71">
        <f t="shared" ca="1" si="19"/>
        <v>-3000</v>
      </c>
      <c r="K49" s="71">
        <f t="shared" ca="1" si="20"/>
        <v>-3000</v>
      </c>
      <c r="L49" s="72">
        <f ca="1">IF(A49="","",IF(A49&lt;='Dados de entrada'!$J$2,-V48,-V48*(1-'Dados de entrada'!$J$3)))</f>
        <v>3000</v>
      </c>
      <c r="M49" s="72">
        <f ca="1">IF(A49="","",L49*'Dados de entrada'!$E$4)</f>
        <v>60.599999999999994</v>
      </c>
      <c r="N49" s="72">
        <f ca="1">IF(A49="","",IF(A49&lt;='Dados de entrada'!$E$2,'Dados de entrada'!$E$13*'Dados de entrada'!$E$10/'Dados de entrada'!$B$10,'Dados de entrada'!$E$13*'Dados de entrada'!$E$10/'Dados de entrada'!$B$10*(1-'Dados de entrada'!$E$3)))</f>
        <v>0</v>
      </c>
      <c r="O49" s="71">
        <f ca="1">IF(A49="","",IF(AND(A49='Dados de entrada'!$E$2),(O48*(1+'Dados de entrada'!$B$6)-L49)*(1-'Dados de entrada'!$E$3),IF(AND(A49&lt;&gt;'Dados de entrada'!$A$2),O48*(1+'Dados de entrada'!$B$6)^(C49/30)-L49,"")))</f>
        <v>100167.32500548888</v>
      </c>
      <c r="P49" s="71">
        <f ca="1">IF(A49="","",(O48*((1+'Dados de entrada'!$B$6)^(-DAYS360(B49,B48)/30)-1)-O48*((1+'Dados de entrada'!$H$10)^(-DAYS360(B49,B48)/360)-1))*4.65%)</f>
        <v>91.581556587532901</v>
      </c>
      <c r="Q49" s="75">
        <f ca="1">IF(E49&lt;&gt;"",'Dados de entrada'!$H$5-E49*'Dados de entrada'!$H$6,"")</f>
        <v>0</v>
      </c>
      <c r="R49" s="71">
        <f ca="1">IF(A49="","",IF(A49='Dados de entrada'!$E$2,PV('Dados de entrada'!$B$6,'Dados de entrada'!$B$10-'Dados de entrada'!$E$2+1,+L49*(-'Dados de entrada'!$E$3),,1)+L49*(1-'Dados de entrada'!$E$3)-M49-N49-P49-Q49,L49-M49-N49-P49-Q49))</f>
        <v>2847.8184434124673</v>
      </c>
      <c r="S49" s="74">
        <f t="shared" ca="1" si="12"/>
        <v>1398</v>
      </c>
      <c r="T49" s="67">
        <f ca="1">IF(E49&lt;&gt;"",(-E49)/((1+'Dados de entrada'!$B$6)^(S49/30)),"")</f>
        <v>192.90331055223763</v>
      </c>
      <c r="U49" s="67">
        <f t="shared" ca="1" si="13"/>
        <v>269678.8281520282</v>
      </c>
      <c r="V49" s="71">
        <f ca="1">IF(F49="","",-'Dados de entrada'!$B$2)</f>
        <v>-3000</v>
      </c>
      <c r="X49" s="93">
        <f>+Resumo!$E$12-Resumo!$E$20</f>
        <v>0</v>
      </c>
      <c r="Y49" s="116">
        <f t="shared" si="10"/>
        <v>47610</v>
      </c>
      <c r="Z49" s="81">
        <v>30</v>
      </c>
      <c r="AA49" s="81">
        <f t="shared" ca="1" si="11"/>
        <v>1378</v>
      </c>
      <c r="AB49" s="93">
        <f>IF(A49&lt;='Dados de entrada'!$B$18,'Dados de entrada'!$B$20,0)</f>
        <v>3000</v>
      </c>
      <c r="AC49" s="93">
        <f>IF(OR(Resumo!$E$23&gt;0,Resumo!$E$28&gt;0,Resumo!$E$33&gt;0),IF(AND(A49&gt;'Dados de entrada'!$B$18,A49&lt;='Dados de entrada'!$B$10),'Dados de entrada'!$B$21,0),IF(AND(A49&gt;'Dados de entrada'!$B$18,A49&lt;='Dados de entrada'!$B$10),'Dados de entrada'!$B$21,IF(A49&lt;='Dados de entrada'!$B$18,X49,0)))</f>
        <v>0</v>
      </c>
      <c r="AD49" s="93">
        <f ca="1">AC49/((1+'Dados de entrada'!$D$22)^($AA49/360))</f>
        <v>0</v>
      </c>
      <c r="AE49" s="93">
        <f>IF(A49&lt;='Dados de entrada'!$B$27,'Dados de entrada'!$B$29,0)</f>
        <v>0</v>
      </c>
      <c r="AF49" s="93">
        <f>IF(AND(A49&gt;'Dados de entrada'!$B$27,A49&lt;='Dados de entrada'!$B$10),'Dados de entrada'!$B$30,0)</f>
        <v>0</v>
      </c>
      <c r="AG49" s="93">
        <f ca="1">AF49/((1+'Dados de entrada'!$D$31)^($AA49/360))</f>
        <v>0</v>
      </c>
      <c r="AH49" s="93">
        <f>IF(A49&lt;='Dados de entrada'!$B$36,'Dados de entrada'!$B$38,0)</f>
        <v>0</v>
      </c>
      <c r="AI49" s="93">
        <f>IF(AND(A49&gt;'Dados de entrada'!$B$36,A49&lt;='Dados de entrada'!$B$10),'Dados de entrada'!$B$39,0)</f>
        <v>0</v>
      </c>
      <c r="AJ49" s="93">
        <f ca="1">AI49/((1+'Dados de entrada'!$D$40)^($AA49/360))</f>
        <v>0</v>
      </c>
      <c r="AK49" s="93">
        <f>IF(A49&lt;='Dados de entrada'!$B$45,'Dados de entrada'!$B$47,0)</f>
        <v>0</v>
      </c>
      <c r="AL49" s="93">
        <f>IF(AND(A49&gt;'Dados de entrada'!$B$45,A49&lt;='Dados de entrada'!$B$10),'Dados de entrada'!$B$48,0)</f>
        <v>0</v>
      </c>
      <c r="AM49" s="93">
        <f ca="1">AL49/((1+'Dados de entrada'!$D$49)^($AA49/360))</f>
        <v>0</v>
      </c>
      <c r="AN49" s="85">
        <f t="shared" si="9"/>
        <v>3000</v>
      </c>
    </row>
    <row r="50" spans="1:40">
      <c r="A50" s="69">
        <f>IF(A49="","",IF(A49+1&lt;='Dados de entrada'!$B$10,A49+1,""))</f>
        <v>47</v>
      </c>
      <c r="B50" s="70">
        <f t="shared" si="14"/>
        <v>47641</v>
      </c>
      <c r="C50" s="69">
        <f t="shared" si="15"/>
        <v>30</v>
      </c>
      <c r="D50" s="71">
        <f ca="1">IF(A50="","",F49*(1+'Dados de entrada'!$B$6)^(C50/30))</f>
        <v>21060.827438842978</v>
      </c>
      <c r="E50" s="71">
        <f ca="1">IF(A50="","",-'Dados de entrada'!$J$20)</f>
        <v>-615.26347669246445</v>
      </c>
      <c r="F50" s="71">
        <f t="shared" ca="1" si="16"/>
        <v>20445.563962150514</v>
      </c>
      <c r="G50" s="71">
        <f t="shared" ca="1" si="17"/>
        <v>97.534915803254989</v>
      </c>
      <c r="H50" s="69">
        <f t="shared" ca="1" si="18"/>
        <v>1429</v>
      </c>
      <c r="I50" s="71">
        <f ca="1">IF(A50="","",MIN(H50,365)*G50*'Dados de entrada'!$B$11+G50*'Dados de entrada'!$B$12)</f>
        <v>3.2898527100437907</v>
      </c>
      <c r="J50" s="71">
        <f t="shared" ca="1" si="19"/>
        <v>-3000</v>
      </c>
      <c r="K50" s="71">
        <f t="shared" ca="1" si="20"/>
        <v>-3000</v>
      </c>
      <c r="L50" s="72">
        <f ca="1">IF(A50="","",IF(A50&lt;='Dados de entrada'!$J$2,-V49,-V49*(1-'Dados de entrada'!$J$3)))</f>
        <v>3000</v>
      </c>
      <c r="M50" s="72">
        <f ca="1">IF(A50="","",L50*'Dados de entrada'!$E$4)</f>
        <v>60.599999999999994</v>
      </c>
      <c r="N50" s="72">
        <f ca="1">IF(A50="","",IF(A50&lt;='Dados de entrada'!$E$2,'Dados de entrada'!$E$13*'Dados de entrada'!$E$10/'Dados de entrada'!$B$10,'Dados de entrada'!$E$13*'Dados de entrada'!$E$10/'Dados de entrada'!$B$10*(1-'Dados de entrada'!$E$3)))</f>
        <v>0</v>
      </c>
      <c r="O50" s="71">
        <f ca="1">IF(A50="","",IF(AND(A50='Dados de entrada'!$E$2),(O49*(1+'Dados de entrada'!$B$6)-L50)*(1-'Dados de entrada'!$E$3),IF(AND(A50&lt;&gt;'Dados de entrada'!$A$2),O49*(1+'Dados de entrada'!$B$6)^(C50/30)-L50,"")))</f>
        <v>99691.748673568844</v>
      </c>
      <c r="P50" s="71">
        <f ca="1">IF(A50="","",(O49*((1+'Dados de entrada'!$B$6)^(-DAYS360(B50,B49)/30)-1)-O49*((1+'Dados de entrada'!$H$10)^(-DAYS360(B50,B49)/360)-1))*4.65%)</f>
        <v>91.159387836418077</v>
      </c>
      <c r="Q50" s="75">
        <f ca="1">IF(E50&lt;&gt;"",'Dados de entrada'!$H$5-E50*'Dados de entrada'!$H$6,"")</f>
        <v>0</v>
      </c>
      <c r="R50" s="71">
        <f ca="1">IF(A50="","",IF(A50='Dados de entrada'!$E$2,PV('Dados de entrada'!$B$6,'Dados de entrada'!$B$10-'Dados de entrada'!$E$2+1,+L50*(-'Dados de entrada'!$E$3),,1)+L50*(1-'Dados de entrada'!$E$3)-M50-N50-P50-Q50,L50-M50-N50-P50-Q50))</f>
        <v>2848.2406121635822</v>
      </c>
      <c r="S50" s="74">
        <f t="shared" ca="1" si="12"/>
        <v>1429</v>
      </c>
      <c r="T50" s="67">
        <f ca="1">IF(E50&lt;&gt;"",(-E50)/((1+'Dados de entrada'!$B$6)^(S50/30)),"")</f>
        <v>188.00521316250348</v>
      </c>
      <c r="U50" s="67">
        <f t="shared" ca="1" si="13"/>
        <v>268659.44960921747</v>
      </c>
      <c r="V50" s="71">
        <f ca="1">IF(F50="","",-'Dados de entrada'!$B$2)</f>
        <v>-3000</v>
      </c>
      <c r="X50" s="93">
        <f>+Resumo!$E$12-Resumo!$E$20</f>
        <v>0</v>
      </c>
      <c r="Y50" s="116">
        <f t="shared" si="10"/>
        <v>47641</v>
      </c>
      <c r="Z50" s="81">
        <v>30</v>
      </c>
      <c r="AA50" s="81">
        <f t="shared" ca="1" si="11"/>
        <v>1408</v>
      </c>
      <c r="AB50" s="93">
        <f>IF(A50&lt;='Dados de entrada'!$B$18,'Dados de entrada'!$B$20,0)</f>
        <v>3000</v>
      </c>
      <c r="AC50" s="93">
        <f>IF(OR(Resumo!$E$23&gt;0,Resumo!$E$28&gt;0,Resumo!$E$33&gt;0),IF(AND(A50&gt;'Dados de entrada'!$B$18,A50&lt;='Dados de entrada'!$B$10),'Dados de entrada'!$B$21,0),IF(AND(A50&gt;'Dados de entrada'!$B$18,A50&lt;='Dados de entrada'!$B$10),'Dados de entrada'!$B$21,IF(A50&lt;='Dados de entrada'!$B$18,X50,0)))</f>
        <v>0</v>
      </c>
      <c r="AD50" s="93">
        <f ca="1">AC50/((1+'Dados de entrada'!$D$22)^($AA50/360))</f>
        <v>0</v>
      </c>
      <c r="AE50" s="93">
        <f>IF(A50&lt;='Dados de entrada'!$B$27,'Dados de entrada'!$B$29,0)</f>
        <v>0</v>
      </c>
      <c r="AF50" s="93">
        <f>IF(AND(A50&gt;'Dados de entrada'!$B$27,A50&lt;='Dados de entrada'!$B$10),'Dados de entrada'!$B$30,0)</f>
        <v>0</v>
      </c>
      <c r="AG50" s="93">
        <f ca="1">AF50/((1+'Dados de entrada'!$D$31)^($AA50/360))</f>
        <v>0</v>
      </c>
      <c r="AH50" s="93">
        <f>IF(A50&lt;='Dados de entrada'!$B$36,'Dados de entrada'!$B$38,0)</f>
        <v>0</v>
      </c>
      <c r="AI50" s="93">
        <f>IF(AND(A50&gt;'Dados de entrada'!$B$36,A50&lt;='Dados de entrada'!$B$10),'Dados de entrada'!$B$39,0)</f>
        <v>0</v>
      </c>
      <c r="AJ50" s="93">
        <f ca="1">AI50/((1+'Dados de entrada'!$D$40)^($AA50/360))</f>
        <v>0</v>
      </c>
      <c r="AK50" s="93">
        <f>IF(A50&lt;='Dados de entrada'!$B$45,'Dados de entrada'!$B$47,0)</f>
        <v>0</v>
      </c>
      <c r="AL50" s="93">
        <f>IF(AND(A50&gt;'Dados de entrada'!$B$45,A50&lt;='Dados de entrada'!$B$10),'Dados de entrada'!$B$48,0)</f>
        <v>0</v>
      </c>
      <c r="AM50" s="93">
        <f ca="1">AL50/((1+'Dados de entrada'!$D$49)^($AA50/360))</f>
        <v>0</v>
      </c>
      <c r="AN50" s="85">
        <f t="shared" si="9"/>
        <v>3000</v>
      </c>
    </row>
    <row r="51" spans="1:40">
      <c r="A51" s="69">
        <f>IF(A50="","",IF(A50+1&lt;='Dados de entrada'!$B$10,A50+1,""))</f>
        <v>48</v>
      </c>
      <c r="B51" s="70">
        <f t="shared" si="14"/>
        <v>47671</v>
      </c>
      <c r="C51" s="69">
        <f t="shared" si="15"/>
        <v>30</v>
      </c>
      <c r="D51" s="71">
        <f ca="1">IF(A51="","",F50*(1+'Dados de entrada'!$B$6)^(C51/30))</f>
        <v>20960.834441525571</v>
      </c>
      <c r="E51" s="71">
        <f ca="1">IF(A51="","",-'Dados de entrada'!$J$20)</f>
        <v>-615.26347669246445</v>
      </c>
      <c r="F51" s="71">
        <f t="shared" ca="1" si="16"/>
        <v>20345.570964833107</v>
      </c>
      <c r="G51" s="71">
        <f t="shared" ca="1" si="17"/>
        <v>99.992997317407571</v>
      </c>
      <c r="H51" s="69">
        <f t="shared" ca="1" si="18"/>
        <v>1459</v>
      </c>
      <c r="I51" s="71">
        <f ca="1">IF(A51="","",MIN(H51,365)*G51*'Dados de entrada'!$B$11+G51*'Dados de entrada'!$B$12)</f>
        <v>3.3727637995161572</v>
      </c>
      <c r="J51" s="71">
        <f t="shared" ca="1" si="19"/>
        <v>-3000</v>
      </c>
      <c r="K51" s="71">
        <f t="shared" ca="1" si="20"/>
        <v>-3000</v>
      </c>
      <c r="L51" s="72">
        <f ca="1">IF(A51="","",IF(A51&lt;='Dados de entrada'!$J$2,-V50,-V50*(1-'Dados de entrada'!$J$3)))</f>
        <v>3000</v>
      </c>
      <c r="M51" s="72">
        <f ca="1">IF(A51="","",L51*'Dados de entrada'!$E$4)</f>
        <v>60.599999999999994</v>
      </c>
      <c r="N51" s="72">
        <f ca="1">IF(A51="","",IF(A51&lt;='Dados de entrada'!$E$2,'Dados de entrada'!$E$13*'Dados de entrada'!$E$10/'Dados de entrada'!$B$10,'Dados de entrada'!$E$13*'Dados de entrada'!$E$10/'Dados de entrada'!$B$10*(1-'Dados de entrada'!$E$3)))</f>
        <v>0</v>
      </c>
      <c r="O51" s="71">
        <f ca="1">IF(A51="","",IF(AND(A51='Dados de entrada'!$E$2),(O50*(1+'Dados de entrada'!$B$6)-L51)*(1-'Dados de entrada'!$E$3),IF(AND(A51&lt;&gt;'Dados de entrada'!$A$2),O50*(1+'Dados de entrada'!$B$6)^(C51/30)-L51,"")))</f>
        <v>99204.186834915832</v>
      </c>
      <c r="P51" s="71">
        <f ca="1">IF(A51="","",(O50*((1+'Dados de entrada'!$B$6)^(-DAYS360(B51,B50)/30)-1)-O50*((1+'Dados de entrada'!$H$10)^(-DAYS360(B51,B50)/360)-1))*4.65%)</f>
        <v>90.726579560017115</v>
      </c>
      <c r="Q51" s="75">
        <f ca="1">IF(E51&lt;&gt;"",'Dados de entrada'!$H$5-E51*'Dados de entrada'!$H$6,"")</f>
        <v>0</v>
      </c>
      <c r="R51" s="71">
        <f ca="1">IF(A51="","",IF(A51='Dados de entrada'!$E$2,PV('Dados de entrada'!$B$6,'Dados de entrada'!$B$10-'Dados de entrada'!$E$2+1,+L51*(-'Dados de entrada'!$E$3),,1)+L51*(1-'Dados de entrada'!$E$3)-M51-N51-P51-Q51,L51-M51-N51-P51-Q51))</f>
        <v>2848.6734204399831</v>
      </c>
      <c r="S51" s="74">
        <f t="shared" ca="1" si="12"/>
        <v>1459</v>
      </c>
      <c r="T51" s="67">
        <f ca="1">IF(E51&lt;&gt;"",(-E51)/((1+'Dados de entrada'!$B$6)^(S51/30)),"")</f>
        <v>183.38356813298421</v>
      </c>
      <c r="U51" s="67">
        <f t="shared" ca="1" si="13"/>
        <v>267556.62590602395</v>
      </c>
      <c r="V51" s="71">
        <f ca="1">IF(F51="","",-'Dados de entrada'!$B$2)</f>
        <v>-3000</v>
      </c>
      <c r="X51" s="93">
        <f>+Resumo!$E$12-Resumo!$E$20</f>
        <v>0</v>
      </c>
      <c r="Y51" s="116">
        <f t="shared" si="10"/>
        <v>47671</v>
      </c>
      <c r="Z51" s="81">
        <v>30</v>
      </c>
      <c r="AA51" s="81">
        <f t="shared" ca="1" si="11"/>
        <v>1438</v>
      </c>
      <c r="AB51" s="93">
        <f>IF(A51&lt;='Dados de entrada'!$B$18,'Dados de entrada'!$B$20,0)</f>
        <v>3000</v>
      </c>
      <c r="AC51" s="93">
        <f>IF(OR(Resumo!$E$23&gt;0,Resumo!$E$28&gt;0,Resumo!$E$33&gt;0),IF(AND(A51&gt;'Dados de entrada'!$B$18,A51&lt;='Dados de entrada'!$B$10),'Dados de entrada'!$B$21,0),IF(AND(A51&gt;'Dados de entrada'!$B$18,A51&lt;='Dados de entrada'!$B$10),'Dados de entrada'!$B$21,IF(A51&lt;='Dados de entrada'!$B$18,X51,0)))</f>
        <v>0</v>
      </c>
      <c r="AD51" s="93">
        <f ca="1">AC51/((1+'Dados de entrada'!$D$22)^($AA51/360))</f>
        <v>0</v>
      </c>
      <c r="AE51" s="93">
        <f>IF(A51&lt;='Dados de entrada'!$B$27,'Dados de entrada'!$B$29,0)</f>
        <v>0</v>
      </c>
      <c r="AF51" s="93">
        <f>IF(AND(A51&gt;'Dados de entrada'!$B$27,A51&lt;='Dados de entrada'!$B$10),'Dados de entrada'!$B$30,0)</f>
        <v>0</v>
      </c>
      <c r="AG51" s="93">
        <f ca="1">AF51/((1+'Dados de entrada'!$D$31)^($AA51/360))</f>
        <v>0</v>
      </c>
      <c r="AH51" s="93">
        <f>IF(A51&lt;='Dados de entrada'!$B$36,'Dados de entrada'!$B$38,0)</f>
        <v>0</v>
      </c>
      <c r="AI51" s="93">
        <f>IF(AND(A51&gt;'Dados de entrada'!$B$36,A51&lt;='Dados de entrada'!$B$10),'Dados de entrada'!$B$39,0)</f>
        <v>0</v>
      </c>
      <c r="AJ51" s="93">
        <f ca="1">AI51/((1+'Dados de entrada'!$D$40)^($AA51/360))</f>
        <v>0</v>
      </c>
      <c r="AK51" s="93">
        <f>IF(A51&lt;='Dados de entrada'!$B$45,'Dados de entrada'!$B$47,0)</f>
        <v>0</v>
      </c>
      <c r="AL51" s="93">
        <f>IF(AND(A51&gt;'Dados de entrada'!$B$45,A51&lt;='Dados de entrada'!$B$10),'Dados de entrada'!$B$48,0)</f>
        <v>0</v>
      </c>
      <c r="AM51" s="93">
        <f ca="1">AL51/((1+'Dados de entrada'!$D$49)^($AA51/360))</f>
        <v>0</v>
      </c>
      <c r="AN51" s="85">
        <f t="shared" si="9"/>
        <v>3000</v>
      </c>
    </row>
    <row r="52" spans="1:40">
      <c r="A52" s="69">
        <f>IF(A51="","",IF(A51+1&lt;='Dados de entrada'!$B$10,A51+1,""))</f>
        <v>49</v>
      </c>
      <c r="B52" s="70">
        <f t="shared" si="14"/>
        <v>47702</v>
      </c>
      <c r="C52" s="69">
        <f t="shared" si="15"/>
        <v>30</v>
      </c>
      <c r="D52" s="71">
        <f ca="1">IF(A52="","",F51*(1+'Dados de entrada'!$B$6)^(C52/30))</f>
        <v>20858.321413958216</v>
      </c>
      <c r="E52" s="71">
        <f ca="1">IF(A52="","",-'Dados de entrada'!$J$20)</f>
        <v>-615.26347669246445</v>
      </c>
      <c r="F52" s="71">
        <f t="shared" ca="1" si="16"/>
        <v>20243.057937265752</v>
      </c>
      <c r="G52" s="71">
        <f t="shared" ca="1" si="17"/>
        <v>102.51302756735458</v>
      </c>
      <c r="H52" s="69">
        <f t="shared" ca="1" si="18"/>
        <v>1490</v>
      </c>
      <c r="I52" s="71">
        <f ca="1">IF(A52="","",MIN(H52,365)*G52*'Dados de entrada'!$B$11+G52*'Dados de entrada'!$B$12)</f>
        <v>3.4577644198468702</v>
      </c>
      <c r="J52" s="71">
        <f t="shared" ca="1" si="19"/>
        <v>-3000</v>
      </c>
      <c r="K52" s="71">
        <f t="shared" ca="1" si="20"/>
        <v>-3000</v>
      </c>
      <c r="L52" s="72">
        <f ca="1">IF(A52="","",IF(A52&lt;='Dados de entrada'!$J$2,-V51,-V51*(1-'Dados de entrada'!$J$3)))</f>
        <v>3000</v>
      </c>
      <c r="M52" s="72">
        <f ca="1">IF(A52="","",L52*'Dados de entrada'!$E$4)</f>
        <v>60.599999999999994</v>
      </c>
      <c r="N52" s="72">
        <f ca="1">IF(A52="","",IF(A52&lt;='Dados de entrada'!$E$2,'Dados de entrada'!$E$13*'Dados de entrada'!$E$10/'Dados de entrada'!$B$10,'Dados de entrada'!$E$13*'Dados de entrada'!$E$10/'Dados de entrada'!$B$10*(1-'Dados de entrada'!$E$3)))</f>
        <v>0</v>
      </c>
      <c r="O52" s="71">
        <f ca="1">IF(A52="","",IF(AND(A52='Dados de entrada'!$E$2),(O51*(1+'Dados de entrada'!$B$6)-L52)*(1-'Dados de entrada'!$E$3),IF(AND(A52&lt;&gt;'Dados de entrada'!$A$2),O51*(1+'Dados de entrada'!$B$6)^(C52/30)-L52,"")))</f>
        <v>98704.33742998229</v>
      </c>
      <c r="P52" s="71">
        <f ca="1">IF(A52="","",(O51*((1+'Dados de entrada'!$B$6)^(-DAYS360(B52,B51)/30)-1)-O51*((1+'Dados de entrada'!$H$10)^(-DAYS360(B52,B51)/360)-1))*4.65%)</f>
        <v>90.282863620297533</v>
      </c>
      <c r="Q52" s="75">
        <f ca="1">IF(E52&lt;&gt;"",'Dados de entrada'!$H$5-E52*'Dados de entrada'!$H$6,"")</f>
        <v>0</v>
      </c>
      <c r="R52" s="71">
        <f ca="1">IF(A52="","",IF(A52='Dados de entrada'!$E$2,PV('Dados de entrada'!$B$6,'Dados de entrada'!$B$10-'Dados de entrada'!$E$2+1,+L52*(-'Dados de entrada'!$E$3),,1)+L52*(1-'Dados de entrada'!$E$3)-M52-N52-P52-Q52,L52-M52-N52-P52-Q52))</f>
        <v>2849.1171363797025</v>
      </c>
      <c r="S52" s="74">
        <f t="shared" ca="1" si="12"/>
        <v>1490</v>
      </c>
      <c r="T52" s="67">
        <f ca="1">IF(E52&lt;&gt;"",(-E52)/((1+'Dados de entrada'!$B$6)^(S52/30)),"")</f>
        <v>178.72719093644531</v>
      </c>
      <c r="U52" s="67">
        <f t="shared" ca="1" si="13"/>
        <v>266303.51449530351</v>
      </c>
      <c r="V52" s="71">
        <f ca="1">IF(F52="","",-'Dados de entrada'!$B$2)</f>
        <v>-3000</v>
      </c>
      <c r="X52" s="93">
        <f>+Resumo!$E$12-Resumo!$E$20</f>
        <v>0</v>
      </c>
      <c r="Y52" s="116">
        <f t="shared" si="10"/>
        <v>47702</v>
      </c>
      <c r="Z52" s="81">
        <v>30</v>
      </c>
      <c r="AA52" s="81">
        <f t="shared" ca="1" si="11"/>
        <v>1468</v>
      </c>
      <c r="AB52" s="93">
        <f>IF(A52&lt;='Dados de entrada'!$B$18,'Dados de entrada'!$B$20,0)</f>
        <v>3000</v>
      </c>
      <c r="AC52" s="93">
        <f>IF(OR(Resumo!$E$23&gt;0,Resumo!$E$28&gt;0,Resumo!$E$33&gt;0),IF(AND(A52&gt;'Dados de entrada'!$B$18,A52&lt;='Dados de entrada'!$B$10),'Dados de entrada'!$B$21,0),IF(AND(A52&gt;'Dados de entrada'!$B$18,A52&lt;='Dados de entrada'!$B$10),'Dados de entrada'!$B$21,IF(A52&lt;='Dados de entrada'!$B$18,X52,0)))</f>
        <v>0</v>
      </c>
      <c r="AD52" s="93">
        <f ca="1">AC52/((1+'Dados de entrada'!$D$22)^($AA52/360))</f>
        <v>0</v>
      </c>
      <c r="AE52" s="93">
        <f>IF(A52&lt;='Dados de entrada'!$B$27,'Dados de entrada'!$B$29,0)</f>
        <v>0</v>
      </c>
      <c r="AF52" s="93">
        <f>IF(AND(A52&gt;'Dados de entrada'!$B$27,A52&lt;='Dados de entrada'!$B$10),'Dados de entrada'!$B$30,0)</f>
        <v>0</v>
      </c>
      <c r="AG52" s="93">
        <f ca="1">AF52/((1+'Dados de entrada'!$D$31)^($AA52/360))</f>
        <v>0</v>
      </c>
      <c r="AH52" s="93">
        <f>IF(A52&lt;='Dados de entrada'!$B$36,'Dados de entrada'!$B$38,0)</f>
        <v>0</v>
      </c>
      <c r="AI52" s="93">
        <f>IF(AND(A52&gt;'Dados de entrada'!$B$36,A52&lt;='Dados de entrada'!$B$10),'Dados de entrada'!$B$39,0)</f>
        <v>0</v>
      </c>
      <c r="AJ52" s="93">
        <f ca="1">AI52/((1+'Dados de entrada'!$D$40)^($AA52/360))</f>
        <v>0</v>
      </c>
      <c r="AK52" s="93">
        <f>IF(A52&lt;='Dados de entrada'!$B$45,'Dados de entrada'!$B$47,0)</f>
        <v>0</v>
      </c>
      <c r="AL52" s="93">
        <f>IF(AND(A52&gt;'Dados de entrada'!$B$45,A52&lt;='Dados de entrada'!$B$10),'Dados de entrada'!$B$48,0)</f>
        <v>0</v>
      </c>
      <c r="AM52" s="93">
        <f ca="1">AL52/((1+'Dados de entrada'!$D$49)^($AA52/360))</f>
        <v>0</v>
      </c>
      <c r="AN52" s="85">
        <f t="shared" si="9"/>
        <v>3000</v>
      </c>
    </row>
    <row r="53" spans="1:40">
      <c r="A53" s="69">
        <f>IF(A52="","",IF(A52+1&lt;='Dados de entrada'!$B$10,A52+1,""))</f>
        <v>50</v>
      </c>
      <c r="B53" s="70">
        <f t="shared" si="14"/>
        <v>47733</v>
      </c>
      <c r="C53" s="69">
        <f t="shared" si="15"/>
        <v>30</v>
      </c>
      <c r="D53" s="71">
        <f ca="1">IF(A53="","",F52*(1+'Dados de entrada'!$B$6)^(C53/30))</f>
        <v>20753.224846168901</v>
      </c>
      <c r="E53" s="71">
        <f ca="1">IF(A53="","",-'Dados de entrada'!$J$20)</f>
        <v>-615.26347669246445</v>
      </c>
      <c r="F53" s="71">
        <f t="shared" ca="1" si="16"/>
        <v>20137.961369476438</v>
      </c>
      <c r="G53" s="71">
        <f t="shared" ca="1" si="17"/>
        <v>105.09656778931458</v>
      </c>
      <c r="H53" s="69">
        <f t="shared" ca="1" si="18"/>
        <v>1521</v>
      </c>
      <c r="I53" s="71">
        <f ca="1">IF(A53="","",MIN(H53,365)*G53*'Dados de entrada'!$B$11+G53*'Dados de entrada'!$B$12)</f>
        <v>3.5449072315335806</v>
      </c>
      <c r="J53" s="71">
        <f t="shared" ca="1" si="19"/>
        <v>-3000</v>
      </c>
      <c r="K53" s="71">
        <f t="shared" ca="1" si="20"/>
        <v>-3000</v>
      </c>
      <c r="L53" s="72">
        <f ca="1">IF(A53="","",IF(A53&lt;='Dados de entrada'!$J$2,-V52,-V52*(1-'Dados de entrada'!$J$3)))</f>
        <v>3000</v>
      </c>
      <c r="M53" s="72">
        <f ca="1">IF(A53="","",L53*'Dados de entrada'!$E$4)</f>
        <v>60.599999999999994</v>
      </c>
      <c r="N53" s="72">
        <f ca="1">IF(A53="","",IF(A53&lt;='Dados de entrada'!$E$2,'Dados de entrada'!$E$13*'Dados de entrada'!$E$10/'Dados de entrada'!$B$10,'Dados de entrada'!$E$13*'Dados de entrada'!$E$10/'Dados de entrada'!$B$10*(1-'Dados de entrada'!$E$3)))</f>
        <v>0</v>
      </c>
      <c r="O53" s="71">
        <f ca="1">IF(A53="","",IF(AND(A53='Dados de entrada'!$E$2),(O52*(1+'Dados de entrada'!$B$6)-L53)*(1-'Dados de entrada'!$E$3),IF(AND(A53&lt;&gt;'Dados de entrada'!$A$2),O52*(1+'Dados de entrada'!$B$6)^(C53/30)-L53,"")))</f>
        <v>98191.890786695614</v>
      </c>
      <c r="P53" s="71">
        <f ca="1">IF(A53="","",(O52*((1+'Dados de entrada'!$B$6)^(-DAYS360(B53,B52)/30)-1)-O52*((1+'Dados de entrada'!$H$10)^(-DAYS360(B53,B52)/360)-1))*4.65%)</f>
        <v>89.827965121594062</v>
      </c>
      <c r="Q53" s="75">
        <f ca="1">IF(E53&lt;&gt;"",'Dados de entrada'!$H$5-E53*'Dados de entrada'!$H$6,"")</f>
        <v>0</v>
      </c>
      <c r="R53" s="71">
        <f ca="1">IF(A53="","",IF(A53='Dados de entrada'!$E$2,PV('Dados de entrada'!$B$6,'Dados de entrada'!$B$10-'Dados de entrada'!$E$2+1,+L53*(-'Dados de entrada'!$E$3),,1)+L53*(1-'Dados de entrada'!$E$3)-M53-N53-P53-Q53,L53-M53-N53-P53-Q53))</f>
        <v>2849.5720348784062</v>
      </c>
      <c r="S53" s="74">
        <f t="shared" ca="1" si="12"/>
        <v>1521</v>
      </c>
      <c r="T53" s="67">
        <f ca="1">IF(E53&lt;&gt;"",(-E53)/((1+'Dados de entrada'!$B$6)^(S53/30)),"")</f>
        <v>174.18904597203698</v>
      </c>
      <c r="U53" s="67">
        <f t="shared" ca="1" si="13"/>
        <v>264941.53892346827</v>
      </c>
      <c r="V53" s="71">
        <f ca="1">IF(F53="","",-'Dados de entrada'!$B$2)</f>
        <v>-3000</v>
      </c>
      <c r="X53" s="93">
        <f>+Resumo!$E$12-Resumo!$E$20</f>
        <v>0</v>
      </c>
      <c r="Y53" s="116">
        <f t="shared" si="10"/>
        <v>47733</v>
      </c>
      <c r="Z53" s="81">
        <v>30</v>
      </c>
      <c r="AA53" s="81">
        <f t="shared" ca="1" si="11"/>
        <v>1498</v>
      </c>
      <c r="AB53" s="93">
        <f>IF(A53&lt;='Dados de entrada'!$B$18,'Dados de entrada'!$B$20,0)</f>
        <v>3000</v>
      </c>
      <c r="AC53" s="93">
        <f>IF(OR(Resumo!$E$23&gt;0,Resumo!$E$28&gt;0,Resumo!$E$33&gt;0),IF(AND(A53&gt;'Dados de entrada'!$B$18,A53&lt;='Dados de entrada'!$B$10),'Dados de entrada'!$B$21,0),IF(AND(A53&gt;'Dados de entrada'!$B$18,A53&lt;='Dados de entrada'!$B$10),'Dados de entrada'!$B$21,IF(A53&lt;='Dados de entrada'!$B$18,X53,0)))</f>
        <v>0</v>
      </c>
      <c r="AD53" s="93">
        <f ca="1">AC53/((1+'Dados de entrada'!$D$22)^($AA53/360))</f>
        <v>0</v>
      </c>
      <c r="AE53" s="93">
        <f>IF(A53&lt;='Dados de entrada'!$B$27,'Dados de entrada'!$B$29,0)</f>
        <v>0</v>
      </c>
      <c r="AF53" s="93">
        <f>IF(AND(A53&gt;'Dados de entrada'!$B$27,A53&lt;='Dados de entrada'!$B$10),'Dados de entrada'!$B$30,0)</f>
        <v>0</v>
      </c>
      <c r="AG53" s="93">
        <f ca="1">AF53/((1+'Dados de entrada'!$D$31)^($AA53/360))</f>
        <v>0</v>
      </c>
      <c r="AH53" s="93">
        <f>IF(A53&lt;='Dados de entrada'!$B$36,'Dados de entrada'!$B$38,0)</f>
        <v>0</v>
      </c>
      <c r="AI53" s="93">
        <f>IF(AND(A53&gt;'Dados de entrada'!$B$36,A53&lt;='Dados de entrada'!$B$10),'Dados de entrada'!$B$39,0)</f>
        <v>0</v>
      </c>
      <c r="AJ53" s="93">
        <f ca="1">AI53/((1+'Dados de entrada'!$D$40)^($AA53/360))</f>
        <v>0</v>
      </c>
      <c r="AK53" s="93">
        <f>IF(A53&lt;='Dados de entrada'!$B$45,'Dados de entrada'!$B$47,0)</f>
        <v>0</v>
      </c>
      <c r="AL53" s="93">
        <f>IF(AND(A53&gt;'Dados de entrada'!$B$45,A53&lt;='Dados de entrada'!$B$10),'Dados de entrada'!$B$48,0)</f>
        <v>0</v>
      </c>
      <c r="AM53" s="93">
        <f ca="1">AL53/((1+'Dados de entrada'!$D$49)^($AA53/360))</f>
        <v>0</v>
      </c>
      <c r="AN53" s="85">
        <f t="shared" si="9"/>
        <v>3000</v>
      </c>
    </row>
    <row r="54" spans="1:40">
      <c r="A54" s="69">
        <f>IF(A53="","",IF(A53+1&lt;='Dados de entrada'!$B$10,A53+1,""))</f>
        <v>51</v>
      </c>
      <c r="B54" s="70">
        <f t="shared" si="14"/>
        <v>47763</v>
      </c>
      <c r="C54" s="69">
        <f t="shared" si="15"/>
        <v>30</v>
      </c>
      <c r="D54" s="71">
        <f ca="1">IF(A54="","",F53*(1+'Dados de entrada'!$B$6)^(C54/30))</f>
        <v>20645.479627603032</v>
      </c>
      <c r="E54" s="71">
        <f ca="1">IF(A54="","",-'Dados de entrada'!$J$20)</f>
        <v>-615.26347669246445</v>
      </c>
      <c r="F54" s="71">
        <f t="shared" ca="1" si="16"/>
        <v>20030.216150910568</v>
      </c>
      <c r="G54" s="71">
        <f t="shared" ca="1" si="17"/>
        <v>107.74521856586944</v>
      </c>
      <c r="H54" s="69">
        <f t="shared" ca="1" si="18"/>
        <v>1551</v>
      </c>
      <c r="I54" s="71">
        <f ca="1">IF(A54="","",MIN(H54,365)*G54*'Dados de entrada'!$B$11+G54*'Dados de entrada'!$B$12)</f>
        <v>3.6342462222267762</v>
      </c>
      <c r="J54" s="71">
        <f t="shared" ca="1" si="19"/>
        <v>-3000</v>
      </c>
      <c r="K54" s="71">
        <f t="shared" ca="1" si="20"/>
        <v>-3000</v>
      </c>
      <c r="L54" s="72">
        <f ca="1">IF(A54="","",IF(A54&lt;='Dados de entrada'!$J$2,-V53,-V53*(1-'Dados de entrada'!$J$3)))</f>
        <v>3000</v>
      </c>
      <c r="M54" s="72">
        <f ca="1">IF(A54="","",L54*'Dados de entrada'!$E$4)</f>
        <v>60.599999999999994</v>
      </c>
      <c r="N54" s="72">
        <f ca="1">IF(A54="","",IF(A54&lt;='Dados de entrada'!$E$2,'Dados de entrada'!$E$13*'Dados de entrada'!$E$10/'Dados de entrada'!$B$10,'Dados de entrada'!$E$13*'Dados de entrada'!$E$10/'Dados de entrada'!$B$10*(1-'Dados de entrada'!$E$3)))</f>
        <v>0</v>
      </c>
      <c r="O54" s="71">
        <f ca="1">IF(A54="","",IF(AND(A54='Dados de entrada'!$E$2),(O53*(1+'Dados de entrada'!$B$6)-L54)*(1-'Dados de entrada'!$E$3),IF(AND(A54&lt;&gt;'Dados de entrada'!$A$2),O53*(1+'Dados de entrada'!$B$6)^(C54/30)-L54,"")))</f>
        <v>97666.52942860678</v>
      </c>
      <c r="P54" s="71">
        <f ca="1">IF(A54="","",(O53*((1+'Dados de entrada'!$B$6)^(-DAYS360(B54,B53)/30)-1)-O53*((1+'Dados de entrada'!$H$10)^(-DAYS360(B54,B53)/360)-1))*4.65%)</f>
        <v>89.361602240302389</v>
      </c>
      <c r="Q54" s="75">
        <f ca="1">IF(E54&lt;&gt;"",'Dados de entrada'!$H$5-E54*'Dados de entrada'!$H$6,"")</f>
        <v>0</v>
      </c>
      <c r="R54" s="71">
        <f ca="1">IF(A54="","",IF(A54='Dados de entrada'!$E$2,PV('Dados de entrada'!$B$6,'Dados de entrada'!$B$10-'Dados de entrada'!$E$2+1,+L54*(-'Dados de entrada'!$E$3),,1)+L54*(1-'Dados de entrada'!$E$3)-M54-N54-P54-Q54,L54-M54-N54-P54-Q54))</f>
        <v>2850.0383977596975</v>
      </c>
      <c r="S54" s="74">
        <f t="shared" ca="1" si="12"/>
        <v>1551</v>
      </c>
      <c r="T54" s="67">
        <f ca="1">IF(E54&lt;&gt;"",(-E54)/((1+'Dados de entrada'!$B$6)^(S54/30)),"")</f>
        <v>169.90703737785228</v>
      </c>
      <c r="U54" s="67">
        <f t="shared" ca="1" si="13"/>
        <v>263525.81497304887</v>
      </c>
      <c r="V54" s="71">
        <f ca="1">IF(F54="","",-'Dados de entrada'!$B$2)</f>
        <v>-3000</v>
      </c>
      <c r="X54" s="93">
        <f>+Resumo!$E$12-Resumo!$E$20</f>
        <v>0</v>
      </c>
      <c r="Y54" s="116">
        <f t="shared" si="10"/>
        <v>47763</v>
      </c>
      <c r="Z54" s="81">
        <v>30</v>
      </c>
      <c r="AA54" s="81">
        <f t="shared" ca="1" si="11"/>
        <v>1528</v>
      </c>
      <c r="AB54" s="93">
        <f>IF(A54&lt;='Dados de entrada'!$B$18,'Dados de entrada'!$B$20,0)</f>
        <v>0</v>
      </c>
      <c r="AC54" s="93">
        <f>IF(OR(Resumo!$E$23&gt;0,Resumo!$E$28&gt;0,Resumo!$E$33&gt;0),IF(AND(A54&gt;'Dados de entrada'!$B$18,A54&lt;='Dados de entrada'!$B$10),'Dados de entrada'!$B$21,0),IF(AND(A54&gt;'Dados de entrada'!$B$18,A54&lt;='Dados de entrada'!$B$10),'Dados de entrada'!$B$21,IF(A54&lt;='Dados de entrada'!$B$18,X54,0)))</f>
        <v>3000</v>
      </c>
      <c r="AD54" s="93">
        <f ca="1">AC54/((1+'Dados de entrada'!$D$22)^($AA54/360))</f>
        <v>734.97395271665425</v>
      </c>
      <c r="AE54" s="93">
        <f>IF(A54&lt;='Dados de entrada'!$B$27,'Dados de entrada'!$B$29,0)</f>
        <v>0</v>
      </c>
      <c r="AF54" s="93">
        <f>IF(AND(A54&gt;'Dados de entrada'!$B$27,A54&lt;='Dados de entrada'!$B$10),'Dados de entrada'!$B$30,0)</f>
        <v>0</v>
      </c>
      <c r="AG54" s="93">
        <f ca="1">AF54/((1+'Dados de entrada'!$D$31)^($AA54/360))</f>
        <v>0</v>
      </c>
      <c r="AH54" s="93">
        <f>IF(A54&lt;='Dados de entrada'!$B$36,'Dados de entrada'!$B$38,0)</f>
        <v>0</v>
      </c>
      <c r="AI54" s="93">
        <f>IF(AND(A54&gt;'Dados de entrada'!$B$36,A54&lt;='Dados de entrada'!$B$10),'Dados de entrada'!$B$39,0)</f>
        <v>0</v>
      </c>
      <c r="AJ54" s="93">
        <f ca="1">AI54/((1+'Dados de entrada'!$D$40)^($AA54/360))</f>
        <v>0</v>
      </c>
      <c r="AK54" s="93">
        <f>IF(A54&lt;='Dados de entrada'!$B$45,'Dados de entrada'!$B$47,0)</f>
        <v>0</v>
      </c>
      <c r="AL54" s="93">
        <f>IF(AND(A54&gt;'Dados de entrada'!$B$45,A54&lt;='Dados de entrada'!$B$10),'Dados de entrada'!$B$48,0)</f>
        <v>0</v>
      </c>
      <c r="AM54" s="93">
        <f ca="1">AL54/((1+'Dados de entrada'!$D$49)^($AA54/360))</f>
        <v>0</v>
      </c>
      <c r="AN54" s="85">
        <f t="shared" si="9"/>
        <v>3000</v>
      </c>
    </row>
    <row r="55" spans="1:40">
      <c r="A55" s="69">
        <f>IF(A54="","",IF(A54+1&lt;='Dados de entrada'!$B$10,A54+1,""))</f>
        <v>52</v>
      </c>
      <c r="B55" s="70">
        <f t="shared" si="14"/>
        <v>47794</v>
      </c>
      <c r="C55" s="69">
        <f t="shared" si="15"/>
        <v>30</v>
      </c>
      <c r="D55" s="71">
        <f ca="1">IF(A55="","",F54*(1+'Dados de entrada'!$B$6)^(C55/30))</f>
        <v>20535.019006785427</v>
      </c>
      <c r="E55" s="71">
        <f ca="1">IF(A55="","",-'Dados de entrada'!$J$20)</f>
        <v>-615.26347669246445</v>
      </c>
      <c r="F55" s="71">
        <f t="shared" ca="1" si="16"/>
        <v>19919.755530092963</v>
      </c>
      <c r="G55" s="71">
        <f t="shared" ca="1" si="17"/>
        <v>110.46062081760465</v>
      </c>
      <c r="H55" s="69">
        <f t="shared" ca="1" si="18"/>
        <v>1582</v>
      </c>
      <c r="I55" s="71">
        <f ca="1">IF(A55="","",MIN(H55,365)*G55*'Dados de entrada'!$B$11+G55*'Dados de entrada'!$B$12)</f>
        <v>3.725836740177805</v>
      </c>
      <c r="J55" s="71">
        <f t="shared" ca="1" si="19"/>
        <v>-3000</v>
      </c>
      <c r="K55" s="71">
        <f t="shared" ca="1" si="20"/>
        <v>-3000</v>
      </c>
      <c r="L55" s="72">
        <f ca="1">IF(A55="","",IF(A55&lt;='Dados de entrada'!$J$2,-V54,-V54*(1-'Dados de entrada'!$J$3)))</f>
        <v>3000</v>
      </c>
      <c r="M55" s="72">
        <f ca="1">IF(A55="","",L55*'Dados de entrada'!$E$4)</f>
        <v>60.599999999999994</v>
      </c>
      <c r="N55" s="72">
        <f ca="1">IF(A55="","",IF(A55&lt;='Dados de entrada'!$E$2,'Dados de entrada'!$E$13*'Dados de entrada'!$E$10/'Dados de entrada'!$B$10,'Dados de entrada'!$E$13*'Dados de entrada'!$E$10/'Dados de entrada'!$B$10*(1-'Dados de entrada'!$E$3)))</f>
        <v>0</v>
      </c>
      <c r="O55" s="71">
        <f ca="1">IF(A55="","",IF(AND(A55='Dados de entrada'!$E$2),(O54*(1+'Dados de entrada'!$B$6)-L55)*(1-'Dados de entrada'!$E$3),IF(AND(A55&lt;&gt;'Dados de entrada'!$A$2),O54*(1+'Dados de entrada'!$B$6)^(C55/30)-L55,"")))</f>
        <v>97127.927878203918</v>
      </c>
      <c r="P55" s="71">
        <f ca="1">IF(A55="","",(O54*((1+'Dados de entrada'!$B$6)^(-DAYS360(B55,B54)/30)-1)-O54*((1+'Dados de entrada'!$H$10)^(-DAYS360(B55,B54)/360)-1))*4.65%)</f>
        <v>88.883486050280709</v>
      </c>
      <c r="Q55" s="75">
        <f ca="1">IF(E55&lt;&gt;"",'Dados de entrada'!$H$5-E55*'Dados de entrada'!$H$6,"")</f>
        <v>0</v>
      </c>
      <c r="R55" s="71">
        <f ca="1">IF(A55="","",IF(A55='Dados de entrada'!$E$2,PV('Dados de entrada'!$B$6,'Dados de entrada'!$B$10-'Dados de entrada'!$E$2+1,+L55*(-'Dados de entrada'!$E$3),,1)+L55*(1-'Dados de entrada'!$E$3)-M55-N55-P55-Q55,L55-M55-N55-P55-Q55))</f>
        <v>2850.5165139497194</v>
      </c>
      <c r="S55" s="74">
        <f t="shared" ca="1" si="12"/>
        <v>1582</v>
      </c>
      <c r="T55" s="67">
        <f ca="1">IF(E55&lt;&gt;"",(-E55)/((1+'Dados de entrada'!$B$6)^(S55/30)),"")</f>
        <v>165.59284902154329</v>
      </c>
      <c r="U55" s="67">
        <f t="shared" ca="1" si="13"/>
        <v>261967.88715208147</v>
      </c>
      <c r="V55" s="71">
        <f ca="1">IF(F55="","",-'Dados de entrada'!$B$2)</f>
        <v>-3000</v>
      </c>
      <c r="X55" s="93">
        <f>+Resumo!$E$12-Resumo!$E$20</f>
        <v>0</v>
      </c>
      <c r="Y55" s="116">
        <f t="shared" si="10"/>
        <v>47794</v>
      </c>
      <c r="Z55" s="81">
        <v>30</v>
      </c>
      <c r="AA55" s="81">
        <f t="shared" ca="1" si="11"/>
        <v>1558</v>
      </c>
      <c r="AB55" s="93">
        <f>IF(A55&lt;='Dados de entrada'!$B$18,'Dados de entrada'!$B$20,0)</f>
        <v>0</v>
      </c>
      <c r="AC55" s="93">
        <f>IF(OR(Resumo!$E$23&gt;0,Resumo!$E$28&gt;0,Resumo!$E$33&gt;0),IF(AND(A55&gt;'Dados de entrada'!$B$18,A55&lt;='Dados de entrada'!$B$10),'Dados de entrada'!$B$21,0),IF(AND(A55&gt;'Dados de entrada'!$B$18,A55&lt;='Dados de entrada'!$B$10),'Dados de entrada'!$B$21,IF(A55&lt;='Dados de entrada'!$B$18,X55,0)))</f>
        <v>3000</v>
      </c>
      <c r="AD55" s="93">
        <f ca="1">AC55/((1+'Dados de entrada'!$D$22)^($AA55/360))</f>
        <v>714.95520692281559</v>
      </c>
      <c r="AE55" s="93">
        <f>IF(A55&lt;='Dados de entrada'!$B$27,'Dados de entrada'!$B$29,0)</f>
        <v>0</v>
      </c>
      <c r="AF55" s="93">
        <f>IF(AND(A55&gt;'Dados de entrada'!$B$27,A55&lt;='Dados de entrada'!$B$10),'Dados de entrada'!$B$30,0)</f>
        <v>0</v>
      </c>
      <c r="AG55" s="93">
        <f ca="1">AF55/((1+'Dados de entrada'!$D$31)^($AA55/360))</f>
        <v>0</v>
      </c>
      <c r="AH55" s="93">
        <f>IF(A55&lt;='Dados de entrada'!$B$36,'Dados de entrada'!$B$38,0)</f>
        <v>0</v>
      </c>
      <c r="AI55" s="93">
        <f>IF(AND(A55&gt;'Dados de entrada'!$B$36,A55&lt;='Dados de entrada'!$B$10),'Dados de entrada'!$B$39,0)</f>
        <v>0</v>
      </c>
      <c r="AJ55" s="93">
        <f ca="1">AI55/((1+'Dados de entrada'!$D$40)^($AA55/360))</f>
        <v>0</v>
      </c>
      <c r="AK55" s="93">
        <f>IF(A55&lt;='Dados de entrada'!$B$45,'Dados de entrada'!$B$47,0)</f>
        <v>0</v>
      </c>
      <c r="AL55" s="93">
        <f>IF(AND(A55&gt;'Dados de entrada'!$B$45,A55&lt;='Dados de entrada'!$B$10),'Dados de entrada'!$B$48,0)</f>
        <v>0</v>
      </c>
      <c r="AM55" s="93">
        <f ca="1">AL55/((1+'Dados de entrada'!$D$49)^($AA55/360))</f>
        <v>0</v>
      </c>
      <c r="AN55" s="85">
        <f t="shared" si="9"/>
        <v>3000</v>
      </c>
    </row>
    <row r="56" spans="1:40">
      <c r="A56" s="69">
        <f>IF(A55="","",IF(A55+1&lt;='Dados de entrada'!$B$10,A55+1,""))</f>
        <v>53</v>
      </c>
      <c r="B56" s="70">
        <f t="shared" si="14"/>
        <v>47824</v>
      </c>
      <c r="C56" s="69">
        <f t="shared" si="15"/>
        <v>30</v>
      </c>
      <c r="D56" s="71">
        <f ca="1">IF(A56="","",F55*(1+'Dados de entrada'!$B$6)^(C56/30))</f>
        <v>20421.774549965739</v>
      </c>
      <c r="E56" s="71">
        <f ca="1">IF(A56="","",-'Dados de entrada'!$J$20)</f>
        <v>-615.26347669246445</v>
      </c>
      <c r="F56" s="71">
        <f t="shared" ca="1" si="16"/>
        <v>19806.511073273276</v>
      </c>
      <c r="G56" s="71">
        <f t="shared" ca="1" si="17"/>
        <v>113.24445681968791</v>
      </c>
      <c r="H56" s="69">
        <f t="shared" ca="1" si="18"/>
        <v>1612</v>
      </c>
      <c r="I56" s="71">
        <f ca="1">IF(A56="","",MIN(H56,365)*G56*'Dados de entrada'!$B$11+G56*'Dados de entrada'!$B$12)</f>
        <v>3.819735528528073</v>
      </c>
      <c r="J56" s="71">
        <f t="shared" ca="1" si="19"/>
        <v>-3000</v>
      </c>
      <c r="K56" s="71">
        <f t="shared" ca="1" si="20"/>
        <v>-3000</v>
      </c>
      <c r="L56" s="72">
        <f ca="1">IF(A56="","",IF(A56&lt;='Dados de entrada'!$J$2,-V55,-V55*(1-'Dados de entrada'!$J$3)))</f>
        <v>3000</v>
      </c>
      <c r="M56" s="72">
        <f ca="1">IF(A56="","",L56*'Dados de entrada'!$E$4)</f>
        <v>60.599999999999994</v>
      </c>
      <c r="N56" s="72">
        <f ca="1">IF(A56="","",IF(A56&lt;='Dados de entrada'!$E$2,'Dados de entrada'!$E$13*'Dados de entrada'!$E$10/'Dados de entrada'!$B$10,'Dados de entrada'!$E$13*'Dados de entrada'!$E$10/'Dados de entrada'!$B$10*(1-'Dados de entrada'!$E$3)))</f>
        <v>0</v>
      </c>
      <c r="O56" s="71">
        <f ca="1">IF(A56="","",IF(AND(A56='Dados de entrada'!$E$2),(O55*(1+'Dados de entrada'!$B$6)-L56)*(1-'Dados de entrada'!$E$3),IF(AND(A56&lt;&gt;'Dados de entrada'!$A$2),O55*(1+'Dados de entrada'!$B$6)^(C56/30)-L56,"")))</f>
        <v>96575.752455269001</v>
      </c>
      <c r="P56" s="71">
        <f ca="1">IF(A56="","",(O55*((1+'Dados de entrada'!$B$6)^(-DAYS360(B56,B55)/30)-1)-O55*((1+'Dados de entrada'!$H$10)^(-DAYS360(B56,B55)/360)-1))*4.65%)</f>
        <v>88.393320343851187</v>
      </c>
      <c r="Q56" s="75">
        <f ca="1">IF(E56&lt;&gt;"",'Dados de entrada'!$H$5-E56*'Dados de entrada'!$H$6,"")</f>
        <v>0</v>
      </c>
      <c r="R56" s="71">
        <f ca="1">IF(A56="","",IF(A56='Dados de entrada'!$E$2,PV('Dados de entrada'!$B$6,'Dados de entrada'!$B$10-'Dados de entrada'!$E$2+1,+L56*(-'Dados de entrada'!$E$3),,1)+L56*(1-'Dados de entrada'!$E$3)-M56-N56-P56-Q56,L56-M56-N56-P56-Q56))</f>
        <v>2851.0066796561491</v>
      </c>
      <c r="S56" s="74">
        <f t="shared" ca="1" si="12"/>
        <v>1612</v>
      </c>
      <c r="T56" s="67">
        <f ca="1">IF(E56&lt;&gt;"",(-E56)/((1+'Dados de entrada'!$B$6)^(S56/30)),"")</f>
        <v>161.52215675333022</v>
      </c>
      <c r="U56" s="67">
        <f t="shared" ca="1" si="13"/>
        <v>260373.71668636831</v>
      </c>
      <c r="V56" s="71">
        <f ca="1">IF(F56="","",-'Dados de entrada'!$B$2)</f>
        <v>-3000</v>
      </c>
      <c r="X56" s="93">
        <f>+Resumo!$E$12-Resumo!$E$20</f>
        <v>0</v>
      </c>
      <c r="Y56" s="116">
        <f t="shared" si="10"/>
        <v>47824</v>
      </c>
      <c r="Z56" s="81">
        <v>30</v>
      </c>
      <c r="AA56" s="81">
        <f t="shared" ca="1" si="11"/>
        <v>1588</v>
      </c>
      <c r="AB56" s="93">
        <f>IF(A56&lt;='Dados de entrada'!$B$18,'Dados de entrada'!$B$20,0)</f>
        <v>0</v>
      </c>
      <c r="AC56" s="93">
        <f>IF(OR(Resumo!$E$23&gt;0,Resumo!$E$28&gt;0,Resumo!$E$33&gt;0),IF(AND(A56&gt;'Dados de entrada'!$B$18,A56&lt;='Dados de entrada'!$B$10),'Dados de entrada'!$B$21,0),IF(AND(A56&gt;'Dados de entrada'!$B$18,A56&lt;='Dados de entrada'!$B$10),'Dados de entrada'!$B$21,IF(A56&lt;='Dados de entrada'!$B$18,X56,0)))</f>
        <v>3000</v>
      </c>
      <c r="AD56" s="93">
        <f ca="1">AC56/((1+'Dados de entrada'!$D$22)^($AA56/360))</f>
        <v>695.48171879651306</v>
      </c>
      <c r="AE56" s="93">
        <f>IF(A56&lt;='Dados de entrada'!$B$27,'Dados de entrada'!$B$29,0)</f>
        <v>0</v>
      </c>
      <c r="AF56" s="93">
        <f>IF(AND(A56&gt;'Dados de entrada'!$B$27,A56&lt;='Dados de entrada'!$B$10),'Dados de entrada'!$B$30,0)</f>
        <v>0</v>
      </c>
      <c r="AG56" s="93">
        <f ca="1">AF56/((1+'Dados de entrada'!$D$31)^($AA56/360))</f>
        <v>0</v>
      </c>
      <c r="AH56" s="93">
        <f>IF(A56&lt;='Dados de entrada'!$B$36,'Dados de entrada'!$B$38,0)</f>
        <v>0</v>
      </c>
      <c r="AI56" s="93">
        <f>IF(AND(A56&gt;'Dados de entrada'!$B$36,A56&lt;='Dados de entrada'!$B$10),'Dados de entrada'!$B$39,0)</f>
        <v>0</v>
      </c>
      <c r="AJ56" s="93">
        <f ca="1">AI56/((1+'Dados de entrada'!$D$40)^($AA56/360))</f>
        <v>0</v>
      </c>
      <c r="AK56" s="93">
        <f>IF(A56&lt;='Dados de entrada'!$B$45,'Dados de entrada'!$B$47,0)</f>
        <v>0</v>
      </c>
      <c r="AL56" s="93">
        <f>IF(AND(A56&gt;'Dados de entrada'!$B$45,A56&lt;='Dados de entrada'!$B$10),'Dados de entrada'!$B$48,0)</f>
        <v>0</v>
      </c>
      <c r="AM56" s="93">
        <f ca="1">AL56/((1+'Dados de entrada'!$D$49)^($AA56/360))</f>
        <v>0</v>
      </c>
      <c r="AN56" s="85">
        <f t="shared" si="9"/>
        <v>3000</v>
      </c>
    </row>
    <row r="57" spans="1:40">
      <c r="A57" s="69">
        <f>IF(A56="","",IF(A56+1&lt;='Dados de entrada'!$B$10,A56+1,""))</f>
        <v>54</v>
      </c>
      <c r="B57" s="70">
        <f t="shared" si="14"/>
        <v>47855</v>
      </c>
      <c r="C57" s="69">
        <f t="shared" si="15"/>
        <v>30</v>
      </c>
      <c r="D57" s="71">
        <f ca="1">IF(A57="","",F56*(1+'Dados de entrada'!$B$6)^(C57/30))</f>
        <v>20305.676098721633</v>
      </c>
      <c r="E57" s="71">
        <f ca="1">IF(A57="","",-'Dados de entrada'!$J$20)</f>
        <v>-615.26347669246445</v>
      </c>
      <c r="F57" s="71">
        <f t="shared" ca="1" si="16"/>
        <v>19690.412622029169</v>
      </c>
      <c r="G57" s="71">
        <f t="shared" ca="1" si="17"/>
        <v>116.0984512441064</v>
      </c>
      <c r="H57" s="69">
        <f t="shared" ca="1" si="18"/>
        <v>1643</v>
      </c>
      <c r="I57" s="71">
        <f ca="1">IF(A57="","",MIN(H57,365)*G57*'Dados de entrada'!$B$11+G57*'Dados de entrada'!$B$12)</f>
        <v>3.9160007604637093</v>
      </c>
      <c r="J57" s="71">
        <f t="shared" ca="1" si="19"/>
        <v>-3000</v>
      </c>
      <c r="K57" s="71">
        <f t="shared" ca="1" si="20"/>
        <v>-3000</v>
      </c>
      <c r="L57" s="72">
        <f ca="1">IF(A57="","",IF(A57&lt;='Dados de entrada'!$J$2,-V56,-V56*(1-'Dados de entrada'!$J$3)))</f>
        <v>3000</v>
      </c>
      <c r="M57" s="72">
        <f ca="1">IF(A57="","",L57*'Dados de entrada'!$E$4)</f>
        <v>60.599999999999994</v>
      </c>
      <c r="N57" s="72">
        <f ca="1">IF(A57="","",IF(A57&lt;='Dados de entrada'!$E$2,'Dados de entrada'!$E$13*'Dados de entrada'!$E$10/'Dados de entrada'!$B$10,'Dados de entrada'!$E$13*'Dados de entrada'!$E$10/'Dados de entrada'!$B$10*(1-'Dados de entrada'!$E$3)))</f>
        <v>0</v>
      </c>
      <c r="O57" s="71">
        <f ca="1">IF(A57="","",IF(AND(A57='Dados de entrada'!$E$2),(O56*(1+'Dados de entrada'!$B$6)-L57)*(1-'Dados de entrada'!$E$3),IF(AND(A57&lt;&gt;'Dados de entrada'!$A$2),O56*(1+'Dados de entrada'!$B$6)^(C57/30)-L57,"")))</f>
        <v>96009.661070152681</v>
      </c>
      <c r="P57" s="71">
        <f ca="1">IF(A57="","",(O56*((1+'Dados de entrada'!$B$6)^(-DAYS360(B57,B56)/30)-1)-O56*((1+'Dados de entrada'!$H$10)^(-DAYS360(B57,B56)/360)-1))*4.65%)</f>
        <v>87.890801448290148</v>
      </c>
      <c r="Q57" s="75">
        <f ca="1">IF(E57&lt;&gt;"",'Dados de entrada'!$H$5-E57*'Dados de entrada'!$H$6,"")</f>
        <v>0</v>
      </c>
      <c r="R57" s="71">
        <f ca="1">IF(A57="","",IF(A57='Dados de entrada'!$E$2,PV('Dados de entrada'!$B$6,'Dados de entrada'!$B$10-'Dados de entrada'!$E$2+1,+L57*(-'Dados de entrada'!$E$3),,1)+L57*(1-'Dados de entrada'!$E$3)-M57-N57-P57-Q57,L57-M57-N57-P57-Q57))</f>
        <v>2851.5091985517101</v>
      </c>
      <c r="S57" s="74">
        <f t="shared" ca="1" si="12"/>
        <v>1643</v>
      </c>
      <c r="T57" s="67">
        <f ca="1">IF(E57&lt;&gt;"",(-E57)/((1+'Dados de entrada'!$B$6)^(S57/30)),"")</f>
        <v>157.42087278825551</v>
      </c>
      <c r="U57" s="67">
        <f t="shared" ca="1" si="13"/>
        <v>258642.49399110381</v>
      </c>
      <c r="V57" s="71">
        <f ca="1">IF(F57="","",-'Dados de entrada'!$B$2)</f>
        <v>-3000</v>
      </c>
      <c r="X57" s="93">
        <f>+Resumo!$E$12-Resumo!$E$20</f>
        <v>0</v>
      </c>
      <c r="Y57" s="116">
        <f t="shared" si="10"/>
        <v>47855</v>
      </c>
      <c r="Z57" s="81">
        <v>30</v>
      </c>
      <c r="AA57" s="81">
        <f t="shared" ca="1" si="11"/>
        <v>1618</v>
      </c>
      <c r="AB57" s="93">
        <f>IF(A57&lt;='Dados de entrada'!$B$18,'Dados de entrada'!$B$20,0)</f>
        <v>0</v>
      </c>
      <c r="AC57" s="93">
        <f>IF(OR(Resumo!$E$23&gt;0,Resumo!$E$28&gt;0,Resumo!$E$33&gt;0),IF(AND(A57&gt;'Dados de entrada'!$B$18,A57&lt;='Dados de entrada'!$B$10),'Dados de entrada'!$B$21,0),IF(AND(A57&gt;'Dados de entrada'!$B$18,A57&lt;='Dados de entrada'!$B$10),'Dados de entrada'!$B$21,IF(A57&lt;='Dados de entrada'!$B$18,X57,0)))</f>
        <v>3000</v>
      </c>
      <c r="AD57" s="93">
        <f ca="1">AC57/((1+'Dados de entrada'!$D$22)^($AA57/360))</f>
        <v>676.53863696158862</v>
      </c>
      <c r="AE57" s="93">
        <f>IF(A57&lt;='Dados de entrada'!$B$27,'Dados de entrada'!$B$29,0)</f>
        <v>0</v>
      </c>
      <c r="AF57" s="93">
        <f>IF(AND(A57&gt;'Dados de entrada'!$B$27,A57&lt;='Dados de entrada'!$B$10),'Dados de entrada'!$B$30,0)</f>
        <v>0</v>
      </c>
      <c r="AG57" s="93">
        <f ca="1">AF57/((1+'Dados de entrada'!$D$31)^($AA57/360))</f>
        <v>0</v>
      </c>
      <c r="AH57" s="93">
        <f>IF(A57&lt;='Dados de entrada'!$B$36,'Dados de entrada'!$B$38,0)</f>
        <v>0</v>
      </c>
      <c r="AI57" s="93">
        <f>IF(AND(A57&gt;'Dados de entrada'!$B$36,A57&lt;='Dados de entrada'!$B$10),'Dados de entrada'!$B$39,0)</f>
        <v>0</v>
      </c>
      <c r="AJ57" s="93">
        <f ca="1">AI57/((1+'Dados de entrada'!$D$40)^($AA57/360))</f>
        <v>0</v>
      </c>
      <c r="AK57" s="93">
        <f>IF(A57&lt;='Dados de entrada'!$B$45,'Dados de entrada'!$B$47,0)</f>
        <v>0</v>
      </c>
      <c r="AL57" s="93">
        <f>IF(AND(A57&gt;'Dados de entrada'!$B$45,A57&lt;='Dados de entrada'!$B$10),'Dados de entrada'!$B$48,0)</f>
        <v>0</v>
      </c>
      <c r="AM57" s="93">
        <f ca="1">AL57/((1+'Dados de entrada'!$D$49)^($AA57/360))</f>
        <v>0</v>
      </c>
      <c r="AN57" s="85">
        <f t="shared" si="9"/>
        <v>3000</v>
      </c>
    </row>
    <row r="58" spans="1:40">
      <c r="A58" s="69">
        <f>IF(A57="","",IF(A57+1&lt;='Dados de entrada'!$B$10,A57+1,""))</f>
        <v>55</v>
      </c>
      <c r="B58" s="70">
        <f t="shared" si="14"/>
        <v>47886</v>
      </c>
      <c r="C58" s="69">
        <f t="shared" si="15"/>
        <v>30</v>
      </c>
      <c r="D58" s="71">
        <f ca="1">IF(A58="","",F57*(1+'Dados de entrada'!$B$6)^(C58/30))</f>
        <v>20186.651726493496</v>
      </c>
      <c r="E58" s="71">
        <f ca="1">IF(A58="","",-'Dados de entrada'!$J$20)</f>
        <v>-615.26347669246445</v>
      </c>
      <c r="F58" s="71">
        <f t="shared" ca="1" si="16"/>
        <v>19571.388249801032</v>
      </c>
      <c r="G58" s="71">
        <f t="shared" ca="1" si="17"/>
        <v>119.02437222813751</v>
      </c>
      <c r="H58" s="69">
        <f t="shared" ca="1" si="18"/>
        <v>1674</v>
      </c>
      <c r="I58" s="71">
        <f ca="1">IF(A58="","",MIN(H58,365)*G58*'Dados de entrada'!$B$11+G58*'Dados de entrada'!$B$12)</f>
        <v>4.0146920752550779</v>
      </c>
      <c r="J58" s="71">
        <f t="shared" ca="1" si="19"/>
        <v>-3000</v>
      </c>
      <c r="K58" s="71">
        <f t="shared" ca="1" si="20"/>
        <v>-3000</v>
      </c>
      <c r="L58" s="72">
        <f ca="1">IF(A58="","",IF(A58&lt;='Dados de entrada'!$J$2,-V57,-V57*(1-'Dados de entrada'!$J$3)))</f>
        <v>3000</v>
      </c>
      <c r="M58" s="72">
        <f ca="1">IF(A58="","",L58*'Dados de entrada'!$E$4)</f>
        <v>60.599999999999994</v>
      </c>
      <c r="N58" s="72">
        <f ca="1">IF(A58="","",IF(A58&lt;='Dados de entrada'!$E$2,'Dados de entrada'!$E$13*'Dados de entrada'!$E$10/'Dados de entrada'!$B$10,'Dados de entrada'!$E$13*'Dados de entrada'!$E$10/'Dados de entrada'!$B$10*(1-'Dados de entrada'!$E$3)))</f>
        <v>0</v>
      </c>
      <c r="O58" s="71">
        <f ca="1">IF(A58="","",IF(AND(A58='Dados de entrada'!$E$2),(O57*(1+'Dados de entrada'!$B$6)-L58)*(1-'Dados de entrada'!$E$3),IF(AND(A58&lt;&gt;'Dados de entrada'!$A$2),O57*(1+'Dados de entrada'!$B$6)^(C58/30)-L58,"")))</f>
        <v>95429.303011839234</v>
      </c>
      <c r="P58" s="71">
        <f ca="1">IF(A58="","",(O57*((1+'Dados de entrada'!$B$6)^(-DAYS360(B58,B57)/30)-1)-O57*((1+'Dados de entrada'!$H$10)^(-DAYS360(B58,B57)/360)-1))*4.65%)</f>
        <v>87.375618037693457</v>
      </c>
      <c r="Q58" s="75">
        <f ca="1">IF(E58&lt;&gt;"",'Dados de entrada'!$H$5-E58*'Dados de entrada'!$H$6,"")</f>
        <v>0</v>
      </c>
      <c r="R58" s="71">
        <f ca="1">IF(A58="","",IF(A58='Dados de entrada'!$E$2,PV('Dados de entrada'!$B$6,'Dados de entrada'!$B$10-'Dados de entrada'!$E$2+1,+L58*(-'Dados de entrada'!$E$3),,1)+L58*(1-'Dados de entrada'!$E$3)-M58-N58-P58-Q58,L58-M58-N58-P58-Q58))</f>
        <v>2852.0243819623065</v>
      </c>
      <c r="S58" s="74">
        <f t="shared" ca="1" si="12"/>
        <v>1674</v>
      </c>
      <c r="T58" s="67">
        <f ca="1">IF(E58&lt;&gt;"",(-E58)/((1+'Dados de entrada'!$B$6)^(S58/30)),"")</f>
        <v>153.42372642572573</v>
      </c>
      <c r="U58" s="67">
        <f t="shared" ca="1" si="13"/>
        <v>256831.31803666489</v>
      </c>
      <c r="V58" s="71">
        <f ca="1">IF(F58="","",-'Dados de entrada'!$B$2)</f>
        <v>-3000</v>
      </c>
      <c r="X58" s="93">
        <f>+Resumo!$E$12-Resumo!$E$20</f>
        <v>0</v>
      </c>
      <c r="Y58" s="116">
        <f t="shared" si="10"/>
        <v>47886</v>
      </c>
      <c r="Z58" s="81">
        <v>30</v>
      </c>
      <c r="AA58" s="81">
        <f t="shared" ca="1" si="11"/>
        <v>1648</v>
      </c>
      <c r="AB58" s="93">
        <f>IF(A58&lt;='Dados de entrada'!$B$18,'Dados de entrada'!$B$20,0)</f>
        <v>0</v>
      </c>
      <c r="AC58" s="93">
        <f>IF(OR(Resumo!$E$23&gt;0,Resumo!$E$28&gt;0,Resumo!$E$33&gt;0),IF(AND(A58&gt;'Dados de entrada'!$B$18,A58&lt;='Dados de entrada'!$B$10),'Dados de entrada'!$B$21,0),IF(AND(A58&gt;'Dados de entrada'!$B$18,A58&lt;='Dados de entrada'!$B$10),'Dados de entrada'!$B$21,IF(A58&lt;='Dados de entrada'!$B$18,X58,0)))</f>
        <v>3000</v>
      </c>
      <c r="AD58" s="93">
        <f ca="1">AC58/((1+'Dados de entrada'!$D$22)^($AA58/360))</f>
        <v>658.11151455407457</v>
      </c>
      <c r="AE58" s="93">
        <f>IF(A58&lt;='Dados de entrada'!$B$27,'Dados de entrada'!$B$29,0)</f>
        <v>0</v>
      </c>
      <c r="AF58" s="93">
        <f>IF(AND(A58&gt;'Dados de entrada'!$B$27,A58&lt;='Dados de entrada'!$B$10),'Dados de entrada'!$B$30,0)</f>
        <v>0</v>
      </c>
      <c r="AG58" s="93">
        <f ca="1">AF58/((1+'Dados de entrada'!$D$31)^($AA58/360))</f>
        <v>0</v>
      </c>
      <c r="AH58" s="93">
        <f>IF(A58&lt;='Dados de entrada'!$B$36,'Dados de entrada'!$B$38,0)</f>
        <v>0</v>
      </c>
      <c r="AI58" s="93">
        <f>IF(AND(A58&gt;'Dados de entrada'!$B$36,A58&lt;='Dados de entrada'!$B$10),'Dados de entrada'!$B$39,0)</f>
        <v>0</v>
      </c>
      <c r="AJ58" s="93">
        <f ca="1">AI58/((1+'Dados de entrada'!$D$40)^($AA58/360))</f>
        <v>0</v>
      </c>
      <c r="AK58" s="93">
        <f>IF(A58&lt;='Dados de entrada'!$B$45,'Dados de entrada'!$B$47,0)</f>
        <v>0</v>
      </c>
      <c r="AL58" s="93">
        <f>IF(AND(A58&gt;'Dados de entrada'!$B$45,A58&lt;='Dados de entrada'!$B$10),'Dados de entrada'!$B$48,0)</f>
        <v>0</v>
      </c>
      <c r="AM58" s="93">
        <f ca="1">AL58/((1+'Dados de entrada'!$D$49)^($AA58/360))</f>
        <v>0</v>
      </c>
      <c r="AN58" s="85">
        <f t="shared" si="9"/>
        <v>3000</v>
      </c>
    </row>
    <row r="59" spans="1:40">
      <c r="A59" s="69">
        <f>IF(A58="","",IF(A58+1&lt;='Dados de entrada'!$B$10,A58+1,""))</f>
        <v>56</v>
      </c>
      <c r="B59" s="70">
        <f t="shared" si="14"/>
        <v>47914</v>
      </c>
      <c r="C59" s="69">
        <f t="shared" si="15"/>
        <v>30</v>
      </c>
      <c r="D59" s="71">
        <f ca="1">IF(A59="","",F58*(1+'Dados de entrada'!$B$6)^(C59/30))</f>
        <v>20064.627694023711</v>
      </c>
      <c r="E59" s="71">
        <f ca="1">IF(A59="","",-'Dados de entrada'!$J$20)</f>
        <v>-615.26347669246445</v>
      </c>
      <c r="F59" s="71">
        <f t="shared" ca="1" si="16"/>
        <v>19449.364217331247</v>
      </c>
      <c r="G59" s="71">
        <f t="shared" ca="1" si="17"/>
        <v>122.02403246978429</v>
      </c>
      <c r="H59" s="69">
        <f t="shared" ca="1" si="18"/>
        <v>1702</v>
      </c>
      <c r="I59" s="71">
        <f ca="1">IF(A59="","",MIN(H59,365)*G59*'Dados de entrada'!$B$11+G59*'Dados de entrada'!$B$12)</f>
        <v>4.1158706152058242</v>
      </c>
      <c r="J59" s="71">
        <f t="shared" ca="1" si="19"/>
        <v>-3000</v>
      </c>
      <c r="K59" s="71">
        <f t="shared" ca="1" si="20"/>
        <v>-3000</v>
      </c>
      <c r="L59" s="72">
        <f ca="1">IF(A59="","",IF(A59&lt;='Dados de entrada'!$J$2,-V58,-V58*(1-'Dados de entrada'!$J$3)))</f>
        <v>3000</v>
      </c>
      <c r="M59" s="72">
        <f ca="1">IF(A59="","",L59*'Dados de entrada'!$E$4)</f>
        <v>60.599999999999994</v>
      </c>
      <c r="N59" s="72">
        <f ca="1">IF(A59="","",IF(A59&lt;='Dados de entrada'!$E$2,'Dados de entrada'!$E$13*'Dados de entrada'!$E$10/'Dados de entrada'!$B$10,'Dados de entrada'!$E$13*'Dados de entrada'!$E$10/'Dados de entrada'!$B$10*(1-'Dados de entrada'!$E$3)))</f>
        <v>0</v>
      </c>
      <c r="O59" s="71">
        <f ca="1">IF(A59="","",IF(AND(A59='Dados de entrada'!$E$2),(O58*(1+'Dados de entrada'!$B$6)-L59)*(1-'Dados de entrada'!$E$3),IF(AND(A59&lt;&gt;'Dados de entrada'!$A$2),O58*(1+'Dados de entrada'!$B$6)^(C59/30)-L59,"")))</f>
        <v>94834.318730670304</v>
      </c>
      <c r="P59" s="71">
        <f ca="1">IF(A59="","",(O58*((1+'Dados de entrada'!$B$6)^(-DAYS360(B59,B58)/30)-1)-O58*((1+'Dados de entrada'!$H$10)^(-DAYS360(B59,B58)/360)-1))*4.65%)</f>
        <v>86.847450940100643</v>
      </c>
      <c r="Q59" s="75">
        <f ca="1">IF(E59&lt;&gt;"",'Dados de entrada'!$H$5-E59*'Dados de entrada'!$H$6,"")</f>
        <v>0</v>
      </c>
      <c r="R59" s="71">
        <f ca="1">IF(A59="","",IF(A59='Dados de entrada'!$E$2,PV('Dados de entrada'!$B$6,'Dados de entrada'!$B$10-'Dados de entrada'!$E$2+1,+L59*(-'Dados de entrada'!$E$3),,1)+L59*(1-'Dados de entrada'!$E$3)-M59-N59-P59-Q59,L59-M59-N59-P59-Q59))</f>
        <v>2852.5525490598993</v>
      </c>
      <c r="S59" s="74">
        <f t="shared" ca="1" si="12"/>
        <v>1702</v>
      </c>
      <c r="T59" s="67">
        <f ca="1">IF(E59&lt;&gt;"",(-E59)/((1+'Dados de entrada'!$B$6)^(S59/30)),"")</f>
        <v>149.90070837402089</v>
      </c>
      <c r="U59" s="67">
        <f t="shared" ca="1" si="13"/>
        <v>255131.00565258355</v>
      </c>
      <c r="V59" s="71">
        <f ca="1">IF(F59="","",-'Dados de entrada'!$B$2)</f>
        <v>-3000</v>
      </c>
      <c r="X59" s="93">
        <f>+Resumo!$E$12-Resumo!$E$20</f>
        <v>0</v>
      </c>
      <c r="Y59" s="116">
        <f t="shared" si="10"/>
        <v>47914</v>
      </c>
      <c r="Z59" s="81">
        <v>30</v>
      </c>
      <c r="AA59" s="81">
        <f t="shared" ca="1" si="11"/>
        <v>1678</v>
      </c>
      <c r="AB59" s="93">
        <f>IF(A59&lt;='Dados de entrada'!$B$18,'Dados de entrada'!$B$20,0)</f>
        <v>0</v>
      </c>
      <c r="AC59" s="93">
        <f>IF(OR(Resumo!$E$23&gt;0,Resumo!$E$28&gt;0,Resumo!$E$33&gt;0),IF(AND(A59&gt;'Dados de entrada'!$B$18,A59&lt;='Dados de entrada'!$B$10),'Dados de entrada'!$B$21,0),IF(AND(A59&gt;'Dados de entrada'!$B$18,A59&lt;='Dados de entrada'!$B$10),'Dados de entrada'!$B$21,IF(A59&lt;='Dados de entrada'!$B$18,X59,0)))</f>
        <v>3000</v>
      </c>
      <c r="AD59" s="93">
        <f ca="1">AC59/((1+'Dados de entrada'!$D$22)^($AA59/360))</f>
        <v>640.18629820435251</v>
      </c>
      <c r="AE59" s="93">
        <f>IF(A59&lt;='Dados de entrada'!$B$27,'Dados de entrada'!$B$29,0)</f>
        <v>0</v>
      </c>
      <c r="AF59" s="93">
        <f>IF(AND(A59&gt;'Dados de entrada'!$B$27,A59&lt;='Dados de entrada'!$B$10),'Dados de entrada'!$B$30,0)</f>
        <v>0</v>
      </c>
      <c r="AG59" s="93">
        <f ca="1">AF59/((1+'Dados de entrada'!$D$31)^($AA59/360))</f>
        <v>0</v>
      </c>
      <c r="AH59" s="93">
        <f>IF(A59&lt;='Dados de entrada'!$B$36,'Dados de entrada'!$B$38,0)</f>
        <v>0</v>
      </c>
      <c r="AI59" s="93">
        <f>IF(AND(A59&gt;'Dados de entrada'!$B$36,A59&lt;='Dados de entrada'!$B$10),'Dados de entrada'!$B$39,0)</f>
        <v>0</v>
      </c>
      <c r="AJ59" s="93">
        <f ca="1">AI59/((1+'Dados de entrada'!$D$40)^($AA59/360))</f>
        <v>0</v>
      </c>
      <c r="AK59" s="93">
        <f>IF(A59&lt;='Dados de entrada'!$B$45,'Dados de entrada'!$B$47,0)</f>
        <v>0</v>
      </c>
      <c r="AL59" s="93">
        <f>IF(AND(A59&gt;'Dados de entrada'!$B$45,A59&lt;='Dados de entrada'!$B$10),'Dados de entrada'!$B$48,0)</f>
        <v>0</v>
      </c>
      <c r="AM59" s="93">
        <f ca="1">AL59/((1+'Dados de entrada'!$D$49)^($AA59/360))</f>
        <v>0</v>
      </c>
      <c r="AN59" s="85">
        <f t="shared" si="9"/>
        <v>3000</v>
      </c>
    </row>
    <row r="60" spans="1:40">
      <c r="A60" s="69">
        <f>IF(A59="","",IF(A59+1&lt;='Dados de entrada'!$B$10,A59+1,""))</f>
        <v>57</v>
      </c>
      <c r="B60" s="70">
        <f t="shared" si="14"/>
        <v>47945</v>
      </c>
      <c r="C60" s="69">
        <f t="shared" si="15"/>
        <v>30</v>
      </c>
      <c r="D60" s="71">
        <f ca="1">IF(A60="","",F59*(1+'Dados de entrada'!$B$6)^(C60/30))</f>
        <v>19939.528403672932</v>
      </c>
      <c r="E60" s="71">
        <f ca="1">IF(A60="","",-'Dados de entrada'!$J$20)</f>
        <v>-615.26347669246445</v>
      </c>
      <c r="F60" s="71">
        <f t="shared" ca="1" si="16"/>
        <v>19324.264926980468</v>
      </c>
      <c r="G60" s="71">
        <f t="shared" ca="1" si="17"/>
        <v>125.09929035077948</v>
      </c>
      <c r="H60" s="69">
        <f t="shared" ca="1" si="18"/>
        <v>1733</v>
      </c>
      <c r="I60" s="71">
        <f ca="1">IF(A60="","",MIN(H60,365)*G60*'Dados de entrada'!$B$11+G60*'Dados de entrada'!$B$12)</f>
        <v>4.2195990635317919</v>
      </c>
      <c r="J60" s="71">
        <f t="shared" ca="1" si="19"/>
        <v>-3000</v>
      </c>
      <c r="K60" s="71">
        <f t="shared" ca="1" si="20"/>
        <v>-3000</v>
      </c>
      <c r="L60" s="72">
        <f ca="1">IF(A60="","",IF(A60&lt;='Dados de entrada'!$J$2,-V59,-V59*(1-'Dados de entrada'!$J$3)))</f>
        <v>3000</v>
      </c>
      <c r="M60" s="72">
        <f ca="1">IF(A60="","",L60*'Dados de entrada'!$E$4)</f>
        <v>60.599999999999994</v>
      </c>
      <c r="N60" s="72">
        <f ca="1">IF(A60="","",IF(A60&lt;='Dados de entrada'!$E$2,'Dados de entrada'!$E$13*'Dados de entrada'!$E$10/'Dados de entrada'!$B$10,'Dados de entrada'!$E$13*'Dados de entrada'!$E$10/'Dados de entrada'!$B$10*(1-'Dados de entrada'!$E$3)))</f>
        <v>0</v>
      </c>
      <c r="O60" s="71">
        <f ca="1">IF(A60="","",IF(AND(A60='Dados de entrada'!$E$2),(O59*(1+'Dados de entrada'!$B$6)-L60)*(1-'Dados de entrada'!$E$3),IF(AND(A60&lt;&gt;'Dados de entrada'!$A$2),O59*(1+'Dados de entrada'!$B$6)^(C60/30)-L60,"")))</f>
        <v>94224.339615592849</v>
      </c>
      <c r="P60" s="71">
        <f ca="1">IF(A60="","",(O59*((1+'Dados de entrada'!$B$6)^(-DAYS360(B60,B59)/30)-1)-O59*((1+'Dados de entrada'!$H$10)^(-DAYS360(B60,B59)/360)-1))*4.65%)</f>
        <v>86.305972939757922</v>
      </c>
      <c r="Q60" s="75">
        <f ca="1">IF(E60&lt;&gt;"",'Dados de entrada'!$H$5-E60*'Dados de entrada'!$H$6,"")</f>
        <v>0</v>
      </c>
      <c r="R60" s="71">
        <f ca="1">IF(A60="","",IF(A60='Dados de entrada'!$E$2,PV('Dados de entrada'!$B$6,'Dados de entrada'!$B$10-'Dados de entrada'!$E$2+1,+L60*(-'Dados de entrada'!$E$3),,1)+L60*(1-'Dados de entrada'!$E$3)-M60-N60-P60-Q60,L60-M60-N60-P60-Q60))</f>
        <v>2853.0940270602423</v>
      </c>
      <c r="S60" s="74">
        <f t="shared" ca="1" si="12"/>
        <v>1733</v>
      </c>
      <c r="T60" s="67">
        <f ca="1">IF(E60&lt;&gt;"",(-E60)/((1+'Dados de entrada'!$B$6)^(S60/30)),"")</f>
        <v>146.09450999254071</v>
      </c>
      <c r="U60" s="67">
        <f t="shared" ca="1" si="13"/>
        <v>253181.78581707305</v>
      </c>
      <c r="V60" s="71">
        <f ca="1">IF(F60="","",-'Dados de entrada'!$B$2)</f>
        <v>-3000</v>
      </c>
      <c r="X60" s="93">
        <f>+Resumo!$E$12-Resumo!$E$20</f>
        <v>0</v>
      </c>
      <c r="Y60" s="116">
        <f t="shared" si="10"/>
        <v>47945</v>
      </c>
      <c r="Z60" s="81">
        <v>30</v>
      </c>
      <c r="AA60" s="81">
        <f t="shared" ca="1" si="11"/>
        <v>1708</v>
      </c>
      <c r="AB60" s="93">
        <f>IF(A60&lt;='Dados de entrada'!$B$18,'Dados de entrada'!$B$20,0)</f>
        <v>0</v>
      </c>
      <c r="AC60" s="93">
        <f>IF(OR(Resumo!$E$23&gt;0,Resumo!$E$28&gt;0,Resumo!$E$33&gt;0),IF(AND(A60&gt;'Dados de entrada'!$B$18,A60&lt;='Dados de entrada'!$B$10),'Dados de entrada'!$B$21,0),IF(AND(A60&gt;'Dados de entrada'!$B$18,A60&lt;='Dados de entrada'!$B$10),'Dados de entrada'!$B$21,IF(A60&lt;='Dados de entrada'!$B$18,X60,0)))</f>
        <v>3000</v>
      </c>
      <c r="AD60" s="93">
        <f ca="1">AC60/((1+'Dados de entrada'!$D$22)^($AA60/360))</f>
        <v>622.74931731940922</v>
      </c>
      <c r="AE60" s="93">
        <f>IF(A60&lt;='Dados de entrada'!$B$27,'Dados de entrada'!$B$29,0)</f>
        <v>0</v>
      </c>
      <c r="AF60" s="93">
        <f>IF(AND(A60&gt;'Dados de entrada'!$B$27,A60&lt;='Dados de entrada'!$B$10),'Dados de entrada'!$B$30,0)</f>
        <v>0</v>
      </c>
      <c r="AG60" s="93">
        <f ca="1">AF60/((1+'Dados de entrada'!$D$31)^($AA60/360))</f>
        <v>0</v>
      </c>
      <c r="AH60" s="93">
        <f>IF(A60&lt;='Dados de entrada'!$B$36,'Dados de entrada'!$B$38,0)</f>
        <v>0</v>
      </c>
      <c r="AI60" s="93">
        <f>IF(AND(A60&gt;'Dados de entrada'!$B$36,A60&lt;='Dados de entrada'!$B$10),'Dados de entrada'!$B$39,0)</f>
        <v>0</v>
      </c>
      <c r="AJ60" s="93">
        <f ca="1">AI60/((1+'Dados de entrada'!$D$40)^($AA60/360))</f>
        <v>0</v>
      </c>
      <c r="AK60" s="93">
        <f>IF(A60&lt;='Dados de entrada'!$B$45,'Dados de entrada'!$B$47,0)</f>
        <v>0</v>
      </c>
      <c r="AL60" s="93">
        <f>IF(AND(A60&gt;'Dados de entrada'!$B$45,A60&lt;='Dados de entrada'!$B$10),'Dados de entrada'!$B$48,0)</f>
        <v>0</v>
      </c>
      <c r="AM60" s="93">
        <f ca="1">AL60/((1+'Dados de entrada'!$D$49)^($AA60/360))</f>
        <v>0</v>
      </c>
      <c r="AN60" s="85">
        <f t="shared" si="9"/>
        <v>3000</v>
      </c>
    </row>
    <row r="61" spans="1:40">
      <c r="A61" s="69">
        <f>IF(A60="","",IF(A60+1&lt;='Dados de entrada'!$B$10,A60+1,""))</f>
        <v>58</v>
      </c>
      <c r="B61" s="70">
        <f t="shared" si="14"/>
        <v>47975</v>
      </c>
      <c r="C61" s="69">
        <f t="shared" si="15"/>
        <v>30</v>
      </c>
      <c r="D61" s="71">
        <f ca="1">IF(A61="","",F60*(1+'Dados de entrada'!$B$6)^(C61/30))</f>
        <v>19811.276352585013</v>
      </c>
      <c r="E61" s="71">
        <f ca="1">IF(A61="","",-'Dados de entrada'!$J$20)</f>
        <v>-615.26347669246445</v>
      </c>
      <c r="F61" s="71">
        <f t="shared" ca="1" si="16"/>
        <v>19196.012875892549</v>
      </c>
      <c r="G61" s="71">
        <f t="shared" ca="1" si="17"/>
        <v>128.25205108791852</v>
      </c>
      <c r="H61" s="69">
        <f t="shared" ca="1" si="18"/>
        <v>1763</v>
      </c>
      <c r="I61" s="71">
        <f ca="1">IF(A61="","",MIN(H61,365)*G61*'Dados de entrada'!$B$11+G61*'Dados de entrada'!$B$12)</f>
        <v>4.3259416831954915</v>
      </c>
      <c r="J61" s="71">
        <f t="shared" ca="1" si="19"/>
        <v>-3000</v>
      </c>
      <c r="K61" s="71">
        <f t="shared" ca="1" si="20"/>
        <v>-3000</v>
      </c>
      <c r="L61" s="72">
        <f ca="1">IF(A61="","",IF(A61&lt;='Dados de entrada'!$J$2,-V60,-V60*(1-'Dados de entrada'!$J$3)))</f>
        <v>3000</v>
      </c>
      <c r="M61" s="72">
        <f ca="1">IF(A61="","",L61*'Dados de entrada'!$E$4)</f>
        <v>60.599999999999994</v>
      </c>
      <c r="N61" s="72">
        <f ca="1">IF(A61="","",IF(A61&lt;='Dados de entrada'!$E$2,'Dados de entrada'!$E$13*'Dados de entrada'!$E$10/'Dados de entrada'!$B$10,'Dados de entrada'!$E$13*'Dados de entrada'!$E$10/'Dados de entrada'!$B$10*(1-'Dados de entrada'!$E$3)))</f>
        <v>0</v>
      </c>
      <c r="O61" s="71">
        <f ca="1">IF(A61="","",IF(AND(A61='Dados de entrada'!$E$2),(O60*(1+'Dados de entrada'!$B$6)-L61)*(1-'Dados de entrada'!$E$3),IF(AND(A61&lt;&gt;'Dados de entrada'!$A$2),O60*(1+'Dados de entrada'!$B$6)^(C61/30)-L61,"")))</f>
        <v>93598.987765793252</v>
      </c>
      <c r="P61" s="71">
        <f ca="1">IF(A61="","",(O60*((1+'Dados de entrada'!$B$6)^(-DAYS360(B61,B60)/30)-1)-O60*((1+'Dados de entrada'!$H$10)^(-DAYS360(B61,B60)/360)-1))*4.65%)</f>
        <v>85.750848574398134</v>
      </c>
      <c r="Q61" s="75">
        <f ca="1">IF(E61&lt;&gt;"",'Dados de entrada'!$H$5-E61*'Dados de entrada'!$H$6,"")</f>
        <v>0</v>
      </c>
      <c r="R61" s="71">
        <f ca="1">IF(A61="","",IF(A61='Dados de entrada'!$E$2,PV('Dados de entrada'!$B$6,'Dados de entrada'!$B$10-'Dados de entrada'!$E$2+1,+L61*(-'Dados de entrada'!$E$3),,1)+L61*(1-'Dados de entrada'!$E$3)-M61-N61-P61-Q61,L61-M61-N61-P61-Q61))</f>
        <v>2853.6491514256018</v>
      </c>
      <c r="S61" s="74">
        <f t="shared" ca="1" si="12"/>
        <v>1763</v>
      </c>
      <c r="T61" s="67">
        <f ca="1">IF(E61&lt;&gt;"",(-E61)/((1+'Dados de entrada'!$B$6)^(S61/30)),"")</f>
        <v>142.50313635672845</v>
      </c>
      <c r="U61" s="67">
        <f t="shared" ca="1" si="13"/>
        <v>251233.02939691226</v>
      </c>
      <c r="V61" s="71">
        <f ca="1">IF(F61="","",-'Dados de entrada'!$B$2)</f>
        <v>-3000</v>
      </c>
      <c r="X61" s="93">
        <f>+Resumo!$E$12-Resumo!$E$20</f>
        <v>0</v>
      </c>
      <c r="Y61" s="116">
        <f t="shared" si="10"/>
        <v>47975</v>
      </c>
      <c r="Z61" s="81">
        <v>30</v>
      </c>
      <c r="AA61" s="81">
        <f t="shared" ca="1" si="11"/>
        <v>1738</v>
      </c>
      <c r="AB61" s="93">
        <f>IF(A61&lt;='Dados de entrada'!$B$18,'Dados de entrada'!$B$20,0)</f>
        <v>0</v>
      </c>
      <c r="AC61" s="93">
        <f>IF(OR(Resumo!$E$23&gt;0,Resumo!$E$28&gt;0,Resumo!$E$33&gt;0),IF(AND(A61&gt;'Dados de entrada'!$B$18,A61&lt;='Dados de entrada'!$B$10),'Dados de entrada'!$B$21,0),IF(AND(A61&gt;'Dados de entrada'!$B$18,A61&lt;='Dados de entrada'!$B$10),'Dados de entrada'!$B$21,IF(A61&lt;='Dados de entrada'!$B$18,X61,0)))</f>
        <v>3000</v>
      </c>
      <c r="AD61" s="93">
        <f ca="1">AC61/((1+'Dados de entrada'!$D$22)^($AA61/360))</f>
        <v>605.78727365701286</v>
      </c>
      <c r="AE61" s="93">
        <f>IF(A61&lt;='Dados de entrada'!$B$27,'Dados de entrada'!$B$29,0)</f>
        <v>0</v>
      </c>
      <c r="AF61" s="93">
        <f>IF(AND(A61&gt;'Dados de entrada'!$B$27,A61&lt;='Dados de entrada'!$B$10),'Dados de entrada'!$B$30,0)</f>
        <v>0</v>
      </c>
      <c r="AG61" s="93">
        <f ca="1">AF61/((1+'Dados de entrada'!$D$31)^($AA61/360))</f>
        <v>0</v>
      </c>
      <c r="AH61" s="93">
        <f>IF(A61&lt;='Dados de entrada'!$B$36,'Dados de entrada'!$B$38,0)</f>
        <v>0</v>
      </c>
      <c r="AI61" s="93">
        <f>IF(AND(A61&gt;'Dados de entrada'!$B$36,A61&lt;='Dados de entrada'!$B$10),'Dados de entrada'!$B$39,0)</f>
        <v>0</v>
      </c>
      <c r="AJ61" s="93">
        <f ca="1">AI61/((1+'Dados de entrada'!$D$40)^($AA61/360))</f>
        <v>0</v>
      </c>
      <c r="AK61" s="93">
        <f>IF(A61&lt;='Dados de entrada'!$B$45,'Dados de entrada'!$B$47,0)</f>
        <v>0</v>
      </c>
      <c r="AL61" s="93">
        <f>IF(AND(A61&gt;'Dados de entrada'!$B$45,A61&lt;='Dados de entrada'!$B$10),'Dados de entrada'!$B$48,0)</f>
        <v>0</v>
      </c>
      <c r="AM61" s="93">
        <f ca="1">AL61/((1+'Dados de entrada'!$D$49)^($AA61/360))</f>
        <v>0</v>
      </c>
      <c r="AN61" s="85">
        <f t="shared" si="9"/>
        <v>3000</v>
      </c>
    </row>
    <row r="62" spans="1:40">
      <c r="A62" s="69">
        <f>IF(A61="","",IF(A61+1&lt;='Dados de entrada'!$B$10,A61+1,""))</f>
        <v>59</v>
      </c>
      <c r="B62" s="70">
        <f t="shared" si="14"/>
        <v>48006</v>
      </c>
      <c r="C62" s="69">
        <f t="shared" si="15"/>
        <v>30</v>
      </c>
      <c r="D62" s="71">
        <f ca="1">IF(A62="","",F61*(1+'Dados de entrada'!$B$6)^(C62/30))</f>
        <v>19679.792084671615</v>
      </c>
      <c r="E62" s="71">
        <f ca="1">IF(A62="","",-'Dados de entrada'!$J$20)</f>
        <v>-615.26347669246445</v>
      </c>
      <c r="F62" s="71">
        <f t="shared" ca="1" si="16"/>
        <v>19064.528607979151</v>
      </c>
      <c r="G62" s="71">
        <f t="shared" ca="1" si="17"/>
        <v>131.48426791339807</v>
      </c>
      <c r="H62" s="69">
        <f t="shared" ca="1" si="18"/>
        <v>1794</v>
      </c>
      <c r="I62" s="71">
        <f ca="1">IF(A62="","",MIN(H62,365)*G62*'Dados de entrada'!$B$11+G62*'Dados de entrada'!$B$12)</f>
        <v>4.4349643567189174</v>
      </c>
      <c r="J62" s="71">
        <f t="shared" ca="1" si="19"/>
        <v>-3000</v>
      </c>
      <c r="K62" s="71">
        <f t="shared" ca="1" si="20"/>
        <v>-3000</v>
      </c>
      <c r="L62" s="72">
        <f ca="1">IF(A62="","",IF(A62&lt;='Dados de entrada'!$J$2,-V61,-V61*(1-'Dados de entrada'!$J$3)))</f>
        <v>3000</v>
      </c>
      <c r="M62" s="72">
        <f ca="1">IF(A62="","",L62*'Dados de entrada'!$E$4)</f>
        <v>60.599999999999994</v>
      </c>
      <c r="N62" s="72">
        <f ca="1">IF(A62="","",IF(A62&lt;='Dados de entrada'!$E$2,'Dados de entrada'!$E$13*'Dados de entrada'!$E$10/'Dados de entrada'!$B$10,'Dados de entrada'!$E$13*'Dados de entrada'!$E$10/'Dados de entrada'!$B$10*(1-'Dados de entrada'!$E$3)))</f>
        <v>0</v>
      </c>
      <c r="O62" s="71">
        <f ca="1">IF(A62="","",IF(AND(A62='Dados de entrada'!$E$2),(O61*(1+'Dados de entrada'!$B$6)-L62)*(1-'Dados de entrada'!$E$3),IF(AND(A62&lt;&gt;'Dados de entrada'!$A$2),O61*(1+'Dados de entrada'!$B$6)^(C62/30)-L62,"")))</f>
        <v>92957.875756576148</v>
      </c>
      <c r="P62" s="71">
        <f ca="1">IF(A62="","",(O61*((1+'Dados de entrada'!$B$6)^(-DAYS360(B62,B61)/30)-1)-O61*((1+'Dados de entrada'!$H$10)^(-DAYS360(B62,B61)/360)-1))*4.65%)</f>
        <v>85.1817339274114</v>
      </c>
      <c r="Q62" s="75">
        <f ca="1">IF(E62&lt;&gt;"",'Dados de entrada'!$H$5-E62*'Dados de entrada'!$H$6,"")</f>
        <v>0</v>
      </c>
      <c r="R62" s="71">
        <f ca="1">IF(A62="","",IF(A62='Dados de entrada'!$E$2,PV('Dados de entrada'!$B$6,'Dados de entrada'!$B$10-'Dados de entrada'!$E$2+1,+L62*(-'Dados de entrada'!$E$3),,1)+L62*(1-'Dados de entrada'!$E$3)-M62-N62-P62-Q62,L62-M62-N62-P62-Q62))</f>
        <v>2854.2182660725889</v>
      </c>
      <c r="S62" s="74">
        <f t="shared" ca="1" si="12"/>
        <v>1794</v>
      </c>
      <c r="T62" s="67">
        <f ca="1">IF(E62&lt;&gt;"",(-E62)/((1+'Dados de entrada'!$B$6)^(S62/30)),"")</f>
        <v>138.88477315591231</v>
      </c>
      <c r="U62" s="67">
        <f t="shared" ca="1" si="13"/>
        <v>249159.28304170669</v>
      </c>
      <c r="V62" s="71">
        <f ca="1">IF(F62="","",-'Dados de entrada'!$B$2)</f>
        <v>-3000</v>
      </c>
      <c r="X62" s="93">
        <f>+Resumo!$E$12-Resumo!$E$20</f>
        <v>0</v>
      </c>
      <c r="Y62" s="116">
        <f t="shared" si="10"/>
        <v>48006</v>
      </c>
      <c r="Z62" s="81">
        <v>30</v>
      </c>
      <c r="AA62" s="81">
        <f t="shared" ca="1" si="11"/>
        <v>1768</v>
      </c>
      <c r="AB62" s="93">
        <f>IF(A62&lt;='Dados de entrada'!$B$18,'Dados de entrada'!$B$20,0)</f>
        <v>0</v>
      </c>
      <c r="AC62" s="93">
        <f>IF(OR(Resumo!$E$23&gt;0,Resumo!$E$28&gt;0,Resumo!$E$33&gt;0),IF(AND(A62&gt;'Dados de entrada'!$B$18,A62&lt;='Dados de entrada'!$B$10),'Dados de entrada'!$B$21,0),IF(AND(A62&gt;'Dados de entrada'!$B$18,A62&lt;='Dados de entrada'!$B$10),'Dados de entrada'!$B$21,IF(A62&lt;='Dados de entrada'!$B$18,X62,0)))</f>
        <v>3000</v>
      </c>
      <c r="AD62" s="93">
        <f ca="1">AC62/((1+'Dados de entrada'!$D$22)^($AA62/360))</f>
        <v>589.28723118386461</v>
      </c>
      <c r="AE62" s="93">
        <f>IF(A62&lt;='Dados de entrada'!$B$27,'Dados de entrada'!$B$29,0)</f>
        <v>0</v>
      </c>
      <c r="AF62" s="93">
        <f>IF(AND(A62&gt;'Dados de entrada'!$B$27,A62&lt;='Dados de entrada'!$B$10),'Dados de entrada'!$B$30,0)</f>
        <v>0</v>
      </c>
      <c r="AG62" s="93">
        <f ca="1">AF62/((1+'Dados de entrada'!$D$31)^($AA62/360))</f>
        <v>0</v>
      </c>
      <c r="AH62" s="93">
        <f>IF(A62&lt;='Dados de entrada'!$B$36,'Dados de entrada'!$B$38,0)</f>
        <v>0</v>
      </c>
      <c r="AI62" s="93">
        <f>IF(AND(A62&gt;'Dados de entrada'!$B$36,A62&lt;='Dados de entrada'!$B$10),'Dados de entrada'!$B$39,0)</f>
        <v>0</v>
      </c>
      <c r="AJ62" s="93">
        <f ca="1">AI62/((1+'Dados de entrada'!$D$40)^($AA62/360))</f>
        <v>0</v>
      </c>
      <c r="AK62" s="93">
        <f>IF(A62&lt;='Dados de entrada'!$B$45,'Dados de entrada'!$B$47,0)</f>
        <v>0</v>
      </c>
      <c r="AL62" s="93">
        <f>IF(AND(A62&gt;'Dados de entrada'!$B$45,A62&lt;='Dados de entrada'!$B$10),'Dados de entrada'!$B$48,0)</f>
        <v>0</v>
      </c>
      <c r="AM62" s="93">
        <f ca="1">AL62/((1+'Dados de entrada'!$D$49)^($AA62/360))</f>
        <v>0</v>
      </c>
      <c r="AN62" s="85">
        <f t="shared" si="9"/>
        <v>3000</v>
      </c>
    </row>
    <row r="63" spans="1:40">
      <c r="A63" s="69">
        <f>IF(A62="","",IF(A62+1&lt;='Dados de entrada'!$B$10,A62+1,""))</f>
        <v>60</v>
      </c>
      <c r="B63" s="70">
        <f t="shared" si="14"/>
        <v>48036</v>
      </c>
      <c r="C63" s="69">
        <f t="shared" si="15"/>
        <v>30</v>
      </c>
      <c r="D63" s="71">
        <f ca="1">IF(A63="","",F62*(1+'Dados de entrada'!$B$6)^(C63/30))</f>
        <v>19544.994141386705</v>
      </c>
      <c r="E63" s="71">
        <f ca="1">IF(A63="","",-'Dados de entrada'!$J$20)</f>
        <v>-615.26347669246445</v>
      </c>
      <c r="F63" s="71">
        <f t="shared" ca="1" si="16"/>
        <v>18929.730664694242</v>
      </c>
      <c r="G63" s="71">
        <f t="shared" ca="1" si="17"/>
        <v>134.79794328490971</v>
      </c>
      <c r="H63" s="69">
        <f t="shared" ca="1" si="18"/>
        <v>1824</v>
      </c>
      <c r="I63" s="71">
        <f ca="1">IF(A63="","",MIN(H63,365)*G63*'Dados de entrada'!$B$11+G63*'Dados de entrada'!$B$12)</f>
        <v>4.5467346270000046</v>
      </c>
      <c r="J63" s="71">
        <f t="shared" ca="1" si="19"/>
        <v>-3000</v>
      </c>
      <c r="K63" s="71">
        <f t="shared" ca="1" si="20"/>
        <v>-3000</v>
      </c>
      <c r="L63" s="72">
        <f ca="1">IF(A63="","",IF(A63&lt;='Dados de entrada'!$J$2,-V62,-V62*(1-'Dados de entrada'!$J$3)))</f>
        <v>3000</v>
      </c>
      <c r="M63" s="72">
        <f ca="1">IF(A63="","",L63*'Dados de entrada'!$E$4)</f>
        <v>60.599999999999994</v>
      </c>
      <c r="N63" s="72">
        <f ca="1">IF(A63="","",IF(A63&lt;='Dados de entrada'!$E$2,'Dados de entrada'!$E$13*'Dados de entrada'!$E$10/'Dados de entrada'!$B$10,'Dados de entrada'!$E$13*'Dados de entrada'!$E$10/'Dados de entrada'!$B$10*(1-'Dados de entrada'!$E$3)))</f>
        <v>0</v>
      </c>
      <c r="O63" s="71">
        <f ca="1">IF(A63="","",IF(AND(A63='Dados de entrada'!$E$2),(O62*(1+'Dados de entrada'!$B$6)-L63)*(1-'Dados de entrada'!$E$3),IF(AND(A63&lt;&gt;'Dados de entrada'!$A$2),O62*(1+'Dados de entrada'!$B$6)^(C63/30)-L63,"")))</f>
        <v>92300.606399342912</v>
      </c>
      <c r="P63" s="71">
        <f ca="1">IF(A63="","",(O62*((1+'Dados de entrada'!$B$6)^(-DAYS360(B63,B62)/30)-1)-O62*((1+'Dados de entrada'!$H$10)^(-DAYS360(B63,B62)/360)-1))*4.65%)</f>
        <v>84.598276414778383</v>
      </c>
      <c r="Q63" s="75">
        <f ca="1">IF(E63&lt;&gt;"",'Dados de entrada'!$H$5-E63*'Dados de entrada'!$H$6,"")</f>
        <v>0</v>
      </c>
      <c r="R63" s="71">
        <f ca="1">IF(A63="","",IF(A63='Dados de entrada'!$E$2,PV('Dados de entrada'!$B$6,'Dados de entrada'!$B$10-'Dados de entrada'!$E$2+1,+L63*(-'Dados de entrada'!$E$3),,1)+L63*(1-'Dados de entrada'!$E$3)-M63-N63-P63-Q63,L63-M63-N63-P63-Q63))</f>
        <v>2854.8017235852217</v>
      </c>
      <c r="S63" s="74">
        <f t="shared" ca="1" si="12"/>
        <v>1824</v>
      </c>
      <c r="T63" s="67">
        <f ca="1">IF(E63&lt;&gt;"",(-E63)/((1+'Dados de entrada'!$B$6)^(S63/30)),"")</f>
        <v>135.47063313960797</v>
      </c>
      <c r="U63" s="67">
        <f t="shared" ca="1" si="13"/>
        <v>247098.43484664493</v>
      </c>
      <c r="V63" s="71">
        <f ca="1">IF(F63="","",-'Dados de entrada'!$B$2)</f>
        <v>-3000</v>
      </c>
      <c r="X63" s="93">
        <f>+Resumo!$E$12-Resumo!$E$20</f>
        <v>0</v>
      </c>
      <c r="Y63" s="116">
        <f t="shared" si="10"/>
        <v>48036</v>
      </c>
      <c r="Z63" s="81">
        <v>30</v>
      </c>
      <c r="AA63" s="81">
        <f t="shared" ca="1" si="11"/>
        <v>1798</v>
      </c>
      <c r="AB63" s="93">
        <f>IF(A63&lt;='Dados de entrada'!$B$18,'Dados de entrada'!$B$20,0)</f>
        <v>0</v>
      </c>
      <c r="AC63" s="93">
        <f>IF(OR(Resumo!$E$23&gt;0,Resumo!$E$28&gt;0,Resumo!$E$33&gt;0),IF(AND(A63&gt;'Dados de entrada'!$B$18,A63&lt;='Dados de entrada'!$B$10),'Dados de entrada'!$B$21,0),IF(AND(A63&gt;'Dados de entrada'!$B$18,A63&lt;='Dados de entrada'!$B$10),'Dados de entrada'!$B$21,IF(A63&lt;='Dados de entrada'!$B$18,X63,0)))</f>
        <v>3000</v>
      </c>
      <c r="AD63" s="93">
        <f ca="1">AC63/((1+'Dados de entrada'!$D$22)^($AA63/360))</f>
        <v>573.23660620998498</v>
      </c>
      <c r="AE63" s="93">
        <f>IF(A63&lt;='Dados de entrada'!$B$27,'Dados de entrada'!$B$29,0)</f>
        <v>0</v>
      </c>
      <c r="AF63" s="93">
        <f>IF(AND(A63&gt;'Dados de entrada'!$B$27,A63&lt;='Dados de entrada'!$B$10),'Dados de entrada'!$B$30,0)</f>
        <v>0</v>
      </c>
      <c r="AG63" s="93">
        <f ca="1">AF63/((1+'Dados de entrada'!$D$31)^($AA63/360))</f>
        <v>0</v>
      </c>
      <c r="AH63" s="93">
        <f>IF(A63&lt;='Dados de entrada'!$B$36,'Dados de entrada'!$B$38,0)</f>
        <v>0</v>
      </c>
      <c r="AI63" s="93">
        <f>IF(AND(A63&gt;'Dados de entrada'!$B$36,A63&lt;='Dados de entrada'!$B$10),'Dados de entrada'!$B$39,0)</f>
        <v>0</v>
      </c>
      <c r="AJ63" s="93">
        <f ca="1">AI63/((1+'Dados de entrada'!$D$40)^($AA63/360))</f>
        <v>0</v>
      </c>
      <c r="AK63" s="93">
        <f>IF(A63&lt;='Dados de entrada'!$B$45,'Dados de entrada'!$B$47,0)</f>
        <v>0</v>
      </c>
      <c r="AL63" s="93">
        <f>IF(AND(A63&gt;'Dados de entrada'!$B$45,A63&lt;='Dados de entrada'!$B$10),'Dados de entrada'!$B$48,0)</f>
        <v>0</v>
      </c>
      <c r="AM63" s="93">
        <f ca="1">AL63/((1+'Dados de entrada'!$D$49)^($AA63/360))</f>
        <v>0</v>
      </c>
      <c r="AN63" s="85">
        <f t="shared" si="9"/>
        <v>3000</v>
      </c>
    </row>
    <row r="64" spans="1:40">
      <c r="A64" s="69">
        <f>IF(A63="","",IF(A63+1&lt;='Dados de entrada'!$B$10,A63+1,""))</f>
        <v>61</v>
      </c>
      <c r="B64" s="70">
        <f t="shared" si="14"/>
        <v>48067</v>
      </c>
      <c r="C64" s="69">
        <f t="shared" si="15"/>
        <v>30</v>
      </c>
      <c r="D64" s="71">
        <f ca="1">IF(A64="","",F63*(1+'Dados de entrada'!$B$6)^(C64/30))</f>
        <v>19406.799011260497</v>
      </c>
      <c r="E64" s="71">
        <f ca="1">IF(A64="","",-'Dados de entrada'!$J$20)</f>
        <v>-615.26347669246445</v>
      </c>
      <c r="F64" s="71">
        <f t="shared" ca="1" si="16"/>
        <v>18791.535534568033</v>
      </c>
      <c r="G64" s="71">
        <f t="shared" ca="1" si="17"/>
        <v>138.19513012620882</v>
      </c>
      <c r="H64" s="69">
        <f t="shared" ca="1" si="18"/>
        <v>1855</v>
      </c>
      <c r="I64" s="71">
        <f ca="1">IF(A64="","",MIN(H64,365)*G64*'Dados de entrada'!$B$11+G64*'Dados de entrada'!$B$12)</f>
        <v>4.6613217391570236</v>
      </c>
      <c r="J64" s="71">
        <f t="shared" ca="1" si="19"/>
        <v>-3000</v>
      </c>
      <c r="K64" s="71">
        <f t="shared" ca="1" si="20"/>
        <v>-3000</v>
      </c>
      <c r="L64" s="72">
        <f ca="1">IF(A64="","",IF(A64&lt;='Dados de entrada'!$J$2,-V63,-V63*(1-'Dados de entrada'!$J$3)))</f>
        <v>3000</v>
      </c>
      <c r="M64" s="72">
        <f ca="1">IF(A64="","",L64*'Dados de entrada'!$E$4)</f>
        <v>60.599999999999994</v>
      </c>
      <c r="N64" s="72">
        <f ca="1">IF(A64="","",IF(A64&lt;='Dados de entrada'!$E$2,'Dados de entrada'!$E$13*'Dados de entrada'!$E$10/'Dados de entrada'!$B$10,'Dados de entrada'!$E$13*'Dados de entrada'!$E$10/'Dados de entrada'!$B$10*(1-'Dados de entrada'!$E$3)))</f>
        <v>0</v>
      </c>
      <c r="O64" s="71">
        <f ca="1">IF(A64="","",IF(AND(A64='Dados de entrada'!$E$2),(O63*(1+'Dados de entrada'!$B$6)-L64)*(1-'Dados de entrada'!$E$3),IF(AND(A64&lt;&gt;'Dados de entrada'!$A$2),O63*(1+'Dados de entrada'!$B$6)^(C64/30)-L64,"")))</f>
        <v>91626.772495521145</v>
      </c>
      <c r="P64" s="71">
        <f ca="1">IF(A64="","",(O63*((1+'Dados de entrada'!$B$6)^(-DAYS360(B64,B63)/30)-1)-O63*((1+'Dados de entrada'!$H$10)^(-DAYS360(B64,B63)/360)-1))*4.65%)</f>
        <v>84.000114566633428</v>
      </c>
      <c r="Q64" s="75">
        <f ca="1">IF(E64&lt;&gt;"",'Dados de entrada'!$H$5-E64*'Dados de entrada'!$H$6,"")</f>
        <v>0</v>
      </c>
      <c r="R64" s="71">
        <f ca="1">IF(A64="","",IF(A64='Dados de entrada'!$E$2,PV('Dados de entrada'!$B$6,'Dados de entrada'!$B$10-'Dados de entrada'!$E$2+1,+L64*(-'Dados de entrada'!$E$3),,1)+L64*(1-'Dados de entrada'!$E$3)-M64-N64-P64-Q64,L64-M64-N64-P64-Q64))</f>
        <v>2855.3998854333668</v>
      </c>
      <c r="S64" s="74">
        <f t="shared" ca="1" si="12"/>
        <v>1855</v>
      </c>
      <c r="T64" s="67">
        <f ca="1">IF(E64&lt;&gt;"",(-E64)/((1+'Dados de entrada'!$B$6)^(S64/30)),"")</f>
        <v>132.03083548830188</v>
      </c>
      <c r="U64" s="67">
        <f t="shared" ca="1" si="13"/>
        <v>244917.19983079997</v>
      </c>
      <c r="V64" s="71">
        <f ca="1">IF(F64="","",-'Dados de entrada'!$B$2)</f>
        <v>-3000</v>
      </c>
      <c r="X64" s="93">
        <f>+Resumo!$E$12-Resumo!$E$20</f>
        <v>0</v>
      </c>
      <c r="Y64" s="116">
        <f t="shared" si="10"/>
        <v>48067</v>
      </c>
      <c r="Z64" s="81">
        <v>30</v>
      </c>
      <c r="AA64" s="81">
        <f t="shared" ca="1" si="11"/>
        <v>1828</v>
      </c>
      <c r="AB64" s="93">
        <f>IF(A64&lt;='Dados de entrada'!$B$18,'Dados de entrada'!$B$20,0)</f>
        <v>0</v>
      </c>
      <c r="AC64" s="93">
        <f>IF(OR(Resumo!$E$23&gt;0,Resumo!$E$28&gt;0,Resumo!$E$33&gt;0),IF(AND(A64&gt;'Dados de entrada'!$B$18,A64&lt;='Dados de entrada'!$B$10),'Dados de entrada'!$B$21,0),IF(AND(A64&gt;'Dados de entrada'!$B$18,A64&lt;='Dados de entrada'!$B$10),'Dados de entrada'!$B$21,IF(A64&lt;='Dados de entrada'!$B$18,X64,0)))</f>
        <v>3000</v>
      </c>
      <c r="AD64" s="93">
        <f ca="1">AC64/((1+'Dados de entrada'!$D$22)^($AA64/360))</f>
        <v>557.62315779181426</v>
      </c>
      <c r="AE64" s="93">
        <f>IF(A64&lt;='Dados de entrada'!$B$27,'Dados de entrada'!$B$29,0)</f>
        <v>0</v>
      </c>
      <c r="AF64" s="93">
        <f>IF(AND(A64&gt;'Dados de entrada'!$B$27,A64&lt;='Dados de entrada'!$B$10),'Dados de entrada'!$B$30,0)</f>
        <v>0</v>
      </c>
      <c r="AG64" s="93">
        <f ca="1">AF64/((1+'Dados de entrada'!$D$31)^($AA64/360))</f>
        <v>0</v>
      </c>
      <c r="AH64" s="93">
        <f>IF(A64&lt;='Dados de entrada'!$B$36,'Dados de entrada'!$B$38,0)</f>
        <v>0</v>
      </c>
      <c r="AI64" s="93">
        <f>IF(AND(A64&gt;'Dados de entrada'!$B$36,A64&lt;='Dados de entrada'!$B$10),'Dados de entrada'!$B$39,0)</f>
        <v>0</v>
      </c>
      <c r="AJ64" s="93">
        <f ca="1">AI64/((1+'Dados de entrada'!$D$40)^($AA64/360))</f>
        <v>0</v>
      </c>
      <c r="AK64" s="93">
        <f>IF(A64&lt;='Dados de entrada'!$B$45,'Dados de entrada'!$B$47,0)</f>
        <v>0</v>
      </c>
      <c r="AL64" s="93">
        <f>IF(AND(A64&gt;'Dados de entrada'!$B$45,A64&lt;='Dados de entrada'!$B$10),'Dados de entrada'!$B$48,0)</f>
        <v>0</v>
      </c>
      <c r="AM64" s="93">
        <f ca="1">AL64/((1+'Dados de entrada'!$D$49)^($AA64/360))</f>
        <v>0</v>
      </c>
      <c r="AN64" s="85">
        <f t="shared" si="9"/>
        <v>3000</v>
      </c>
    </row>
    <row r="65" spans="1:40">
      <c r="A65" s="69">
        <f>IF(A64="","",IF(A64+1&lt;='Dados de entrada'!$B$10,A64+1,""))</f>
        <v>62</v>
      </c>
      <c r="B65" s="70">
        <f t="shared" si="14"/>
        <v>48098</v>
      </c>
      <c r="C65" s="69">
        <f t="shared" si="15"/>
        <v>30</v>
      </c>
      <c r="D65" s="71">
        <f ca="1">IF(A65="","",F64*(1+'Dados de entrada'!$B$6)^(C65/30))</f>
        <v>19265.121078161512</v>
      </c>
      <c r="E65" s="71">
        <f ca="1">IF(A65="","",-'Dados de entrada'!$J$20)</f>
        <v>-615.26347669246445</v>
      </c>
      <c r="F65" s="71">
        <f t="shared" ca="1" si="16"/>
        <v>18649.857601469048</v>
      </c>
      <c r="G65" s="71">
        <f t="shared" ca="1" si="17"/>
        <v>141.67793309898479</v>
      </c>
      <c r="H65" s="69">
        <f t="shared" ca="1" si="18"/>
        <v>1886</v>
      </c>
      <c r="I65" s="71">
        <f ca="1">IF(A65="","",MIN(H65,365)*G65*'Dados de entrada'!$B$11+G65*'Dados de entrada'!$B$12)</f>
        <v>4.778796683428757</v>
      </c>
      <c r="J65" s="71">
        <f t="shared" ca="1" si="19"/>
        <v>-3000</v>
      </c>
      <c r="K65" s="71">
        <f t="shared" ca="1" si="20"/>
        <v>-3000</v>
      </c>
      <c r="L65" s="72">
        <f ca="1">IF(A65="","",IF(A65&lt;='Dados de entrada'!$J$2,-V64,-V64*(1-'Dados de entrada'!$J$3)))</f>
        <v>3000</v>
      </c>
      <c r="M65" s="72">
        <f ca="1">IF(A65="","",L65*'Dados de entrada'!$E$4)</f>
        <v>60.599999999999994</v>
      </c>
      <c r="N65" s="72">
        <f ca="1">IF(A65="","",IF(A65&lt;='Dados de entrada'!$E$2,'Dados de entrada'!$E$13*'Dados de entrada'!$E$10/'Dados de entrada'!$B$10,'Dados de entrada'!$E$13*'Dados de entrada'!$E$10/'Dados de entrada'!$B$10*(1-'Dados de entrada'!$E$3)))</f>
        <v>0</v>
      </c>
      <c r="O65" s="71">
        <f ca="1">IF(A65="","",IF(AND(A65='Dados de entrada'!$E$2),(O64*(1+'Dados de entrada'!$B$6)-L65)*(1-'Dados de entrada'!$E$3),IF(AND(A65&lt;&gt;'Dados de entrada'!$A$2),O64*(1+'Dados de entrada'!$B$6)^(C65/30)-L65,"")))</f>
        <v>90935.95658429258</v>
      </c>
      <c r="P65" s="71">
        <f ca="1">IF(A65="","",(O64*((1+'Dados de entrada'!$B$6)^(-DAYS360(B65,B64)/30)-1)-O64*((1+'Dados de entrada'!$H$10)^(-DAYS360(B65,B64)/360)-1))*4.65%)</f>
        <v>83.386877803323159</v>
      </c>
      <c r="Q65" s="75">
        <f ca="1">IF(E65&lt;&gt;"",'Dados de entrada'!$H$5-E65*'Dados de entrada'!$H$6,"")</f>
        <v>0</v>
      </c>
      <c r="R65" s="71">
        <f ca="1">IF(A65="","",IF(A65='Dados de entrada'!$E$2,PV('Dados de entrada'!$B$6,'Dados de entrada'!$B$10-'Dados de entrada'!$E$2+1,+L65*(-'Dados de entrada'!$E$3),,1)+L65*(1-'Dados de entrada'!$E$3)-M65-N65-P65-Q65,L65-M65-N65-P65-Q65))</f>
        <v>2856.0131221966767</v>
      </c>
      <c r="S65" s="74">
        <f t="shared" ca="1" si="12"/>
        <v>1886</v>
      </c>
      <c r="T65" s="67">
        <f ca="1">IF(E65&lt;&gt;"",(-E65)/((1+'Dados de entrada'!$B$6)^(S65/30)),"")</f>
        <v>128.67837933387756</v>
      </c>
      <c r="U65" s="67">
        <f t="shared" ca="1" si="13"/>
        <v>242687.42342369308</v>
      </c>
      <c r="V65" s="71">
        <f ca="1">IF(F65="","",-'Dados de entrada'!$B$2)</f>
        <v>-3000</v>
      </c>
      <c r="X65" s="93">
        <f>+Resumo!$E$12-Resumo!$E$20</f>
        <v>0</v>
      </c>
      <c r="Y65" s="116">
        <f t="shared" si="10"/>
        <v>48098</v>
      </c>
      <c r="Z65" s="81">
        <v>30</v>
      </c>
      <c r="AA65" s="81">
        <f t="shared" ca="1" si="11"/>
        <v>1858</v>
      </c>
      <c r="AB65" s="93">
        <f>IF(A65&lt;='Dados de entrada'!$B$18,'Dados de entrada'!$B$20,0)</f>
        <v>0</v>
      </c>
      <c r="AC65" s="93">
        <f>IF(OR(Resumo!$E$23&gt;0,Resumo!$E$28&gt;0,Resumo!$E$33&gt;0),IF(AND(A65&gt;'Dados de entrada'!$B$18,A65&lt;='Dados de entrada'!$B$10),'Dados de entrada'!$B$21,0),IF(AND(A65&gt;'Dados de entrada'!$B$18,A65&lt;='Dados de entrada'!$B$10),'Dados de entrada'!$B$21,IF(A65&lt;='Dados de entrada'!$B$18,X65,0)))</f>
        <v>3000</v>
      </c>
      <c r="AD65" s="93">
        <f ca="1">AC65/((1+'Dados de entrada'!$D$22)^($AA65/360))</f>
        <v>542.43497839670636</v>
      </c>
      <c r="AE65" s="93">
        <f>IF(A65&lt;='Dados de entrada'!$B$27,'Dados de entrada'!$B$29,0)</f>
        <v>0</v>
      </c>
      <c r="AF65" s="93">
        <f>IF(AND(A65&gt;'Dados de entrada'!$B$27,A65&lt;='Dados de entrada'!$B$10),'Dados de entrada'!$B$30,0)</f>
        <v>0</v>
      </c>
      <c r="AG65" s="93">
        <f ca="1">AF65/((1+'Dados de entrada'!$D$31)^($AA65/360))</f>
        <v>0</v>
      </c>
      <c r="AH65" s="93">
        <f>IF(A65&lt;='Dados de entrada'!$B$36,'Dados de entrada'!$B$38,0)</f>
        <v>0</v>
      </c>
      <c r="AI65" s="93">
        <f>IF(AND(A65&gt;'Dados de entrada'!$B$36,A65&lt;='Dados de entrada'!$B$10),'Dados de entrada'!$B$39,0)</f>
        <v>0</v>
      </c>
      <c r="AJ65" s="93">
        <f ca="1">AI65/((1+'Dados de entrada'!$D$40)^($AA65/360))</f>
        <v>0</v>
      </c>
      <c r="AK65" s="93">
        <f>IF(A65&lt;='Dados de entrada'!$B$45,'Dados de entrada'!$B$47,0)</f>
        <v>0</v>
      </c>
      <c r="AL65" s="93">
        <f>IF(AND(A65&gt;'Dados de entrada'!$B$45,A65&lt;='Dados de entrada'!$B$10),'Dados de entrada'!$B$48,0)</f>
        <v>0</v>
      </c>
      <c r="AM65" s="93">
        <f ca="1">AL65/((1+'Dados de entrada'!$D$49)^($AA65/360))</f>
        <v>0</v>
      </c>
      <c r="AN65" s="85">
        <f t="shared" si="9"/>
        <v>3000</v>
      </c>
    </row>
    <row r="66" spans="1:40">
      <c r="A66" s="69">
        <f>IF(A65="","",IF(A65+1&lt;='Dados de entrada'!$B$10,A65+1,""))</f>
        <v>63</v>
      </c>
      <c r="B66" s="70">
        <f t="shared" si="14"/>
        <v>48128</v>
      </c>
      <c r="C66" s="69">
        <f t="shared" si="15"/>
        <v>30</v>
      </c>
      <c r="D66" s="71">
        <f ca="1">IF(A66="","",F65*(1+'Dados de entrada'!$B$6)^(C66/30))</f>
        <v>19119.87256825477</v>
      </c>
      <c r="E66" s="71">
        <f ca="1">IF(A66="","",-'Dados de entrada'!$J$20)</f>
        <v>-615.26347669246445</v>
      </c>
      <c r="F66" s="71">
        <f t="shared" ca="1" si="16"/>
        <v>18504.609091562306</v>
      </c>
      <c r="G66" s="71">
        <f t="shared" ca="1" si="17"/>
        <v>145.24850990674167</v>
      </c>
      <c r="H66" s="69">
        <f t="shared" ca="1" si="18"/>
        <v>1916</v>
      </c>
      <c r="I66" s="71">
        <f ca="1">IF(A66="","",MIN(H66,365)*G66*'Dados de entrada'!$B$11+G66*'Dados de entrada'!$B$12)</f>
        <v>4.8992322391543972</v>
      </c>
      <c r="J66" s="71">
        <f t="shared" ca="1" si="19"/>
        <v>-3000</v>
      </c>
      <c r="K66" s="71">
        <f t="shared" ca="1" si="20"/>
        <v>-3000</v>
      </c>
      <c r="L66" s="72">
        <f ca="1">IF(A66="","",IF(A66&lt;='Dados de entrada'!$J$2,-V65,-V65*(1-'Dados de entrada'!$J$3)))</f>
        <v>3000</v>
      </c>
      <c r="M66" s="72">
        <f ca="1">IF(A66="","",L66*'Dados de entrada'!$E$4)</f>
        <v>60.599999999999994</v>
      </c>
      <c r="N66" s="72">
        <f ca="1">IF(A66="","",IF(A66&lt;='Dados de entrada'!$E$2,'Dados de entrada'!$E$13*'Dados de entrada'!$E$10/'Dados de entrada'!$B$10,'Dados de entrada'!$E$13*'Dados de entrada'!$E$10/'Dados de entrada'!$B$10*(1-'Dados de entrada'!$E$3)))</f>
        <v>0</v>
      </c>
      <c r="O66" s="71">
        <f ca="1">IF(A66="","",IF(AND(A66='Dados de entrada'!$E$2),(O65*(1+'Dados de entrada'!$B$6)-L66)*(1-'Dados de entrada'!$E$3),IF(AND(A66&lt;&gt;'Dados de entrada'!$A$2),O65*(1+'Dados de entrada'!$B$6)^(C66/30)-L66,"")))</f>
        <v>90227.730683963309</v>
      </c>
      <c r="P66" s="71">
        <f ca="1">IF(A66="","",(O65*((1+'Dados de entrada'!$B$6)^(-DAYS360(B66,B65)/30)-1)-O65*((1+'Dados de entrada'!$H$10)^(-DAYS360(B66,B65)/360)-1))*4.65%)</f>
        <v>82.758186205820635</v>
      </c>
      <c r="Q66" s="75">
        <f ca="1">IF(E66&lt;&gt;"",'Dados de entrada'!$H$5-E66*'Dados de entrada'!$H$6,"")</f>
        <v>0</v>
      </c>
      <c r="R66" s="71">
        <f ca="1">IF(A66="","",IF(A66='Dados de entrada'!$E$2,PV('Dados de entrada'!$B$6,'Dados de entrada'!$B$10-'Dados de entrada'!$E$2+1,+L66*(-'Dados de entrada'!$E$3),,1)+L66*(1-'Dados de entrada'!$E$3)-M66-N66-P66-Q66,L66-M66-N66-P66-Q66))</f>
        <v>2856.6418137941796</v>
      </c>
      <c r="S66" s="74">
        <f t="shared" ca="1" si="12"/>
        <v>1916</v>
      </c>
      <c r="T66" s="67">
        <f ca="1">IF(E66&lt;&gt;"",(-E66)/((1+'Dados de entrada'!$B$6)^(S66/30)),"")</f>
        <v>125.51513836703816</v>
      </c>
      <c r="U66" s="67">
        <f t="shared" ca="1" si="13"/>
        <v>240487.00511124512</v>
      </c>
      <c r="V66" s="71">
        <f ca="1">IF(F66="","",-'Dados de entrada'!$B$2)</f>
        <v>-3000</v>
      </c>
      <c r="X66" s="93">
        <f>+Resumo!$E$12-Resumo!$E$20</f>
        <v>0</v>
      </c>
      <c r="Y66" s="116">
        <f t="shared" si="10"/>
        <v>48128</v>
      </c>
      <c r="Z66" s="81">
        <v>30</v>
      </c>
      <c r="AA66" s="81">
        <f t="shared" ca="1" si="11"/>
        <v>1888</v>
      </c>
      <c r="AB66" s="93">
        <f>IF(A66&lt;='Dados de entrada'!$B$18,'Dados de entrada'!$B$20,0)</f>
        <v>0</v>
      </c>
      <c r="AC66" s="93">
        <f>IF(OR(Resumo!$E$23&gt;0,Resumo!$E$28&gt;0,Resumo!$E$33&gt;0),IF(AND(A66&gt;'Dados de entrada'!$B$18,A66&lt;='Dados de entrada'!$B$10),'Dados de entrada'!$B$21,0),IF(AND(A66&gt;'Dados de entrada'!$B$18,A66&lt;='Dados de entrada'!$B$10),'Dados de entrada'!$B$21,IF(A66&lt;='Dados de entrada'!$B$18,X66,0)))</f>
        <v>3000</v>
      </c>
      <c r="AD66" s="93">
        <f ca="1">AC66/((1+'Dados de entrada'!$D$22)^($AA66/360))</f>
        <v>527.6604848216989</v>
      </c>
      <c r="AE66" s="93">
        <f>IF(A66&lt;='Dados de entrada'!$B$27,'Dados de entrada'!$B$29,0)</f>
        <v>0</v>
      </c>
      <c r="AF66" s="93">
        <f>IF(AND(A66&gt;'Dados de entrada'!$B$27,A66&lt;='Dados de entrada'!$B$10),'Dados de entrada'!$B$30,0)</f>
        <v>0</v>
      </c>
      <c r="AG66" s="93">
        <f ca="1">AF66/((1+'Dados de entrada'!$D$31)^($AA66/360))</f>
        <v>0</v>
      </c>
      <c r="AH66" s="93">
        <f>IF(A66&lt;='Dados de entrada'!$B$36,'Dados de entrada'!$B$38,0)</f>
        <v>0</v>
      </c>
      <c r="AI66" s="93">
        <f>IF(AND(A66&gt;'Dados de entrada'!$B$36,A66&lt;='Dados de entrada'!$B$10),'Dados de entrada'!$B$39,0)</f>
        <v>0</v>
      </c>
      <c r="AJ66" s="93">
        <f ca="1">AI66/((1+'Dados de entrada'!$D$40)^($AA66/360))</f>
        <v>0</v>
      </c>
      <c r="AK66" s="93">
        <f>IF(A66&lt;='Dados de entrada'!$B$45,'Dados de entrada'!$B$47,0)</f>
        <v>0</v>
      </c>
      <c r="AL66" s="93">
        <f>IF(AND(A66&gt;'Dados de entrada'!$B$45,A66&lt;='Dados de entrada'!$B$10),'Dados de entrada'!$B$48,0)</f>
        <v>0</v>
      </c>
      <c r="AM66" s="93">
        <f ca="1">AL66/((1+'Dados de entrada'!$D$49)^($AA66/360))</f>
        <v>0</v>
      </c>
      <c r="AN66" s="85">
        <f t="shared" si="9"/>
        <v>3000</v>
      </c>
    </row>
    <row r="67" spans="1:40">
      <c r="A67" s="69">
        <f>IF(A66="","",IF(A66+1&lt;='Dados de entrada'!$B$10,A66+1,""))</f>
        <v>64</v>
      </c>
      <c r="B67" s="70">
        <f t="shared" si="14"/>
        <v>48159</v>
      </c>
      <c r="C67" s="69">
        <f t="shared" si="15"/>
        <v>30</v>
      </c>
      <c r="D67" s="71">
        <f ca="1">IF(A67="","",F66*(1+'Dados de entrada'!$B$6)^(C67/30))</f>
        <v>18970.963495623189</v>
      </c>
      <c r="E67" s="71">
        <f ca="1">IF(A67="","",-'Dados de entrada'!$J$20)</f>
        <v>-615.26347669246445</v>
      </c>
      <c r="F67" s="71">
        <f t="shared" ca="1" si="16"/>
        <v>18355.700018930725</v>
      </c>
      <c r="G67" s="71">
        <f t="shared" ca="1" si="17"/>
        <v>148.90907263158078</v>
      </c>
      <c r="H67" s="69">
        <f t="shared" ca="1" si="18"/>
        <v>1947</v>
      </c>
      <c r="I67" s="71">
        <f ca="1">IF(A67="","",MIN(H67,365)*G67*'Dados de entrada'!$B$11+G67*'Dados de entrada'!$B$12)</f>
        <v>5.0227030198632203</v>
      </c>
      <c r="J67" s="71">
        <f t="shared" ca="1" si="19"/>
        <v>-3000</v>
      </c>
      <c r="K67" s="71">
        <f t="shared" ca="1" si="20"/>
        <v>-3000</v>
      </c>
      <c r="L67" s="72">
        <f ca="1">IF(A67="","",IF(A67&lt;='Dados de entrada'!$J$2,-V66,-V66*(1-'Dados de entrada'!$J$3)))</f>
        <v>3000</v>
      </c>
      <c r="M67" s="72">
        <f ca="1">IF(A67="","",L67*'Dados de entrada'!$E$4)</f>
        <v>60.599999999999994</v>
      </c>
      <c r="N67" s="72">
        <f ca="1">IF(A67="","",IF(A67&lt;='Dados de entrada'!$E$2,'Dados de entrada'!$E$13*'Dados de entrada'!$E$10/'Dados de entrada'!$B$10,'Dados de entrada'!$E$13*'Dados de entrada'!$E$10/'Dados de entrada'!$B$10*(1-'Dados de entrada'!$E$3)))</f>
        <v>0</v>
      </c>
      <c r="O67" s="71">
        <f ca="1">IF(A67="","",IF(AND(A67='Dados de entrada'!$E$2),(O66*(1+'Dados de entrada'!$B$6)-L67)*(1-'Dados de entrada'!$E$3),IF(AND(A67&lt;&gt;'Dados de entrada'!$A$2),O66*(1+'Dados de entrada'!$B$6)^(C67/30)-L67,"")))</f>
        <v>89501.656026815981</v>
      </c>
      <c r="P67" s="71">
        <f ca="1">IF(A67="","",(O66*((1+'Dados de entrada'!$B$6)^(-DAYS360(B67,B66)/30)-1)-O66*((1+'Dados de entrada'!$H$10)^(-DAYS360(B67,B66)/360)-1))*4.65%)</f>
        <v>82.113650280354179</v>
      </c>
      <c r="Q67" s="75">
        <f ca="1">IF(E67&lt;&gt;"",'Dados de entrada'!$H$5-E67*'Dados de entrada'!$H$6,"")</f>
        <v>0</v>
      </c>
      <c r="R67" s="71">
        <f ca="1">IF(A67="","",IF(A67='Dados de entrada'!$E$2,PV('Dados de entrada'!$B$6,'Dados de entrada'!$B$10-'Dados de entrada'!$E$2+1,+L67*(-'Dados de entrada'!$E$3),,1)+L67*(1-'Dados de entrada'!$E$3)-M67-N67-P67-Q67,L67-M67-N67-P67-Q67))</f>
        <v>2857.2863497196458</v>
      </c>
      <c r="S67" s="74">
        <f t="shared" ca="1" si="12"/>
        <v>1947</v>
      </c>
      <c r="T67" s="67">
        <f ca="1">IF(E67&lt;&gt;"",(-E67)/((1+'Dados de entrada'!$B$6)^(S67/30)),"")</f>
        <v>122.32812529894863</v>
      </c>
      <c r="U67" s="67">
        <f t="shared" ca="1" si="13"/>
        <v>238172.85995705301</v>
      </c>
      <c r="V67" s="71">
        <f ca="1">IF(F67="","",-'Dados de entrada'!$B$2)</f>
        <v>-3000</v>
      </c>
      <c r="X67" s="93">
        <f>+Resumo!$E$12-Resumo!$E$20</f>
        <v>0</v>
      </c>
      <c r="Y67" s="116">
        <f t="shared" si="10"/>
        <v>48159</v>
      </c>
      <c r="Z67" s="81">
        <v>30</v>
      </c>
      <c r="AA67" s="81">
        <f t="shared" ca="1" si="11"/>
        <v>1918</v>
      </c>
      <c r="AB67" s="93">
        <f>IF(A67&lt;='Dados de entrada'!$B$18,'Dados de entrada'!$B$20,0)</f>
        <v>0</v>
      </c>
      <c r="AC67" s="93">
        <f>IF(OR(Resumo!$E$23&gt;0,Resumo!$E$28&gt;0,Resumo!$E$33&gt;0),IF(AND(A67&gt;'Dados de entrada'!$B$18,A67&lt;='Dados de entrada'!$B$10),'Dados de entrada'!$B$21,0),IF(AND(A67&gt;'Dados de entrada'!$B$18,A67&lt;='Dados de entrada'!$B$10),'Dados de entrada'!$B$21,IF(A67&lt;='Dados de entrada'!$B$18,X67,0)))</f>
        <v>3000</v>
      </c>
      <c r="AD67" s="93">
        <f ca="1">AC67/((1+'Dados de entrada'!$D$22)^($AA67/360))</f>
        <v>513.28840935962933</v>
      </c>
      <c r="AE67" s="93">
        <f>IF(A67&lt;='Dados de entrada'!$B$27,'Dados de entrada'!$B$29,0)</f>
        <v>0</v>
      </c>
      <c r="AF67" s="93">
        <f>IF(AND(A67&gt;'Dados de entrada'!$B$27,A67&lt;='Dados de entrada'!$B$10),'Dados de entrada'!$B$30,0)</f>
        <v>0</v>
      </c>
      <c r="AG67" s="93">
        <f ca="1">AF67/((1+'Dados de entrada'!$D$31)^($AA67/360))</f>
        <v>0</v>
      </c>
      <c r="AH67" s="93">
        <f>IF(A67&lt;='Dados de entrada'!$B$36,'Dados de entrada'!$B$38,0)</f>
        <v>0</v>
      </c>
      <c r="AI67" s="93">
        <f>IF(AND(A67&gt;'Dados de entrada'!$B$36,A67&lt;='Dados de entrada'!$B$10),'Dados de entrada'!$B$39,0)</f>
        <v>0</v>
      </c>
      <c r="AJ67" s="93">
        <f ca="1">AI67/((1+'Dados de entrada'!$D$40)^($AA67/360))</f>
        <v>0</v>
      </c>
      <c r="AK67" s="93">
        <f>IF(A67&lt;='Dados de entrada'!$B$45,'Dados de entrada'!$B$47,0)</f>
        <v>0</v>
      </c>
      <c r="AL67" s="93">
        <f>IF(AND(A67&gt;'Dados de entrada'!$B$45,A67&lt;='Dados de entrada'!$B$10),'Dados de entrada'!$B$48,0)</f>
        <v>0</v>
      </c>
      <c r="AM67" s="93">
        <f ca="1">AL67/((1+'Dados de entrada'!$D$49)^($AA67/360))</f>
        <v>0</v>
      </c>
      <c r="AN67" s="85">
        <f t="shared" si="9"/>
        <v>3000</v>
      </c>
    </row>
    <row r="68" spans="1:40">
      <c r="A68" s="69">
        <f>IF(A67="","",IF(A67+1&lt;='Dados de entrada'!$B$10,A67+1,""))</f>
        <v>65</v>
      </c>
      <c r="B68" s="70">
        <f t="shared" si="14"/>
        <v>48189</v>
      </c>
      <c r="C68" s="69">
        <f t="shared" si="15"/>
        <v>30</v>
      </c>
      <c r="D68" s="71">
        <f ca="1">IF(A68="","",F67*(1+'Dados de entrada'!$B$6)^(C68/30))</f>
        <v>18818.301606518547</v>
      </c>
      <c r="E68" s="71">
        <f ca="1">IF(A68="","",-'Dados de entrada'!$J$20)</f>
        <v>-615.26347669246445</v>
      </c>
      <c r="F68" s="71">
        <f t="shared" ca="1" si="16"/>
        <v>18203.038129826084</v>
      </c>
      <c r="G68" s="71">
        <f t="shared" ca="1" si="17"/>
        <v>152.66188910464189</v>
      </c>
      <c r="H68" s="69">
        <f t="shared" ca="1" si="18"/>
        <v>1977</v>
      </c>
      <c r="I68" s="71">
        <f ca="1">IF(A68="","",MIN(H68,365)*G68*'Dados de entrada'!$B$11+G68*'Dados de entrada'!$B$12)</f>
        <v>5.1492855194995704</v>
      </c>
      <c r="J68" s="71">
        <f t="shared" ca="1" si="19"/>
        <v>-3000</v>
      </c>
      <c r="K68" s="71">
        <f t="shared" ca="1" si="20"/>
        <v>-3000</v>
      </c>
      <c r="L68" s="72">
        <f ca="1">IF(A68="","",IF(A68&lt;='Dados de entrada'!$J$2,-V67,-V67*(1-'Dados de entrada'!$J$3)))</f>
        <v>3000</v>
      </c>
      <c r="M68" s="72">
        <f ca="1">IF(A68="","",L68*'Dados de entrada'!$E$4)</f>
        <v>60.599999999999994</v>
      </c>
      <c r="N68" s="72">
        <f ca="1">IF(A68="","",IF(A68&lt;='Dados de entrada'!$E$2,'Dados de entrada'!$E$13*'Dados de entrada'!$E$10/'Dados de entrada'!$B$10,'Dados de entrada'!$E$13*'Dados de entrada'!$E$10/'Dados de entrada'!$B$10*(1-'Dados de entrada'!$E$3)))</f>
        <v>0</v>
      </c>
      <c r="O68" s="71">
        <f ca="1">IF(A68="","",IF(AND(A68='Dados de entrada'!$E$2),(O67*(1+'Dados de entrada'!$B$6)-L68)*(1-'Dados de entrada'!$E$3),IF(AND(A68&lt;&gt;'Dados de entrada'!$A$2),O67*(1+'Dados de entrada'!$B$6)^(C68/30)-L68,"")))</f>
        <v>88757.282787279677</v>
      </c>
      <c r="P68" s="71">
        <f ca="1">IF(A68="","",(O67*((1+'Dados de entrada'!$B$6)^(-DAYS360(B68,B67)/30)-1)-O67*((1+'Dados de entrada'!$H$10)^(-DAYS360(B68,B67)/360)-1))*4.65%)</f>
        <v>81.452870717103778</v>
      </c>
      <c r="Q68" s="75">
        <f ca="1">IF(E68&lt;&gt;"",'Dados de entrada'!$H$5-E68*'Dados de entrada'!$H$6,"")</f>
        <v>0</v>
      </c>
      <c r="R68" s="71">
        <f ca="1">IF(A68="","",IF(A68='Dados de entrada'!$E$2,PV('Dados de entrada'!$B$6,'Dados de entrada'!$B$10-'Dados de entrada'!$E$2+1,+L68*(-'Dados de entrada'!$E$3),,1)+L68*(1-'Dados de entrada'!$E$3)-M68-N68-P68-Q68,L68-M68-N68-P68-Q68))</f>
        <v>2857.9471292828962</v>
      </c>
      <c r="S68" s="74">
        <f t="shared" ref="S68:S99" ca="1" si="21">IF(H68&lt;&gt;"",H68,"")</f>
        <v>1977</v>
      </c>
      <c r="T68" s="67">
        <f ca="1">IF(E68&lt;&gt;"",(-E68)/((1+'Dados de entrada'!$B$6)^(S68/30)),"")</f>
        <v>119.3209896842057</v>
      </c>
      <c r="U68" s="67">
        <f t="shared" ref="U68:U99" ca="1" si="22">IF(T68&lt;&gt;"",T68*S68,"")</f>
        <v>235897.59660567465</v>
      </c>
      <c r="V68" s="71">
        <f ca="1">IF(F68="","",-'Dados de entrada'!$B$2)</f>
        <v>-3000</v>
      </c>
      <c r="X68" s="93">
        <f>+Resumo!$E$12-Resumo!$E$20</f>
        <v>0</v>
      </c>
      <c r="Y68" s="116">
        <f t="shared" si="10"/>
        <v>48189</v>
      </c>
      <c r="Z68" s="81">
        <v>30</v>
      </c>
      <c r="AA68" s="81">
        <f t="shared" ca="1" si="11"/>
        <v>1948</v>
      </c>
      <c r="AB68" s="93">
        <f>IF(A68&lt;='Dados de entrada'!$B$18,'Dados de entrada'!$B$20,0)</f>
        <v>0</v>
      </c>
      <c r="AC68" s="93">
        <f>IF(OR(Resumo!$E$23&gt;0,Resumo!$E$28&gt;0,Resumo!$E$33&gt;0),IF(AND(A68&gt;'Dados de entrada'!$B$18,A68&lt;='Dados de entrada'!$B$10),'Dados de entrada'!$B$21,0),IF(AND(A68&gt;'Dados de entrada'!$B$18,A68&lt;='Dados de entrada'!$B$10),'Dados de entrada'!$B$21,IF(A68&lt;='Dados de entrada'!$B$18,X68,0)))</f>
        <v>3000</v>
      </c>
      <c r="AD68" s="93">
        <f ca="1">AC68/((1+'Dados de entrada'!$D$22)^($AA68/360))</f>
        <v>499.30779120586504</v>
      </c>
      <c r="AE68" s="93">
        <f>IF(A68&lt;='Dados de entrada'!$B$27,'Dados de entrada'!$B$29,0)</f>
        <v>0</v>
      </c>
      <c r="AF68" s="93">
        <f>IF(AND(A68&gt;'Dados de entrada'!$B$27,A68&lt;='Dados de entrada'!$B$10),'Dados de entrada'!$B$30,0)</f>
        <v>0</v>
      </c>
      <c r="AG68" s="93">
        <f ca="1">AF68/((1+'Dados de entrada'!$D$31)^($AA68/360))</f>
        <v>0</v>
      </c>
      <c r="AH68" s="93">
        <f>IF(A68&lt;='Dados de entrada'!$B$36,'Dados de entrada'!$B$38,0)</f>
        <v>0</v>
      </c>
      <c r="AI68" s="93">
        <f>IF(AND(A68&gt;'Dados de entrada'!$B$36,A68&lt;='Dados de entrada'!$B$10),'Dados de entrada'!$B$39,0)</f>
        <v>0</v>
      </c>
      <c r="AJ68" s="93">
        <f ca="1">AI68/((1+'Dados de entrada'!$D$40)^($AA68/360))</f>
        <v>0</v>
      </c>
      <c r="AK68" s="93">
        <f>IF(A68&lt;='Dados de entrada'!$B$45,'Dados de entrada'!$B$47,0)</f>
        <v>0</v>
      </c>
      <c r="AL68" s="93">
        <f>IF(AND(A68&gt;'Dados de entrada'!$B$45,A68&lt;='Dados de entrada'!$B$10),'Dados de entrada'!$B$48,0)</f>
        <v>0</v>
      </c>
      <c r="AM68" s="93">
        <f ca="1">AL68/((1+'Dados de entrada'!$D$49)^($AA68/360))</f>
        <v>0</v>
      </c>
      <c r="AN68" s="85">
        <f t="shared" si="9"/>
        <v>3000</v>
      </c>
    </row>
    <row r="69" spans="1:40">
      <c r="A69" s="69">
        <f>IF(A68="","",IF(A68+1&lt;='Dados de entrada'!$B$10,A68+1,""))</f>
        <v>66</v>
      </c>
      <c r="B69" s="70">
        <f t="shared" ref="B69:B100" si="23">IF(A69="","",DATE(YEAR(B68),MONTH(B68)+1,DAY(B68)))</f>
        <v>48220</v>
      </c>
      <c r="C69" s="69">
        <f t="shared" ref="C69:C100" si="24">IF(A69="","",30)</f>
        <v>30</v>
      </c>
      <c r="D69" s="71">
        <f ca="1">IF(A69="","",F68*(1+'Dados de entrada'!$B$6)^(C69/30))</f>
        <v>18661.79232220745</v>
      </c>
      <c r="E69" s="71">
        <f ca="1">IF(A69="","",-'Dados de entrada'!$J$20)</f>
        <v>-615.26347669246445</v>
      </c>
      <c r="F69" s="71">
        <f t="shared" ref="F69:F100" ca="1" si="25">IF(A69="","",D69+E69)</f>
        <v>18046.528845514986</v>
      </c>
      <c r="G69" s="71">
        <f t="shared" ref="G69:G100" ca="1" si="26">IF(A69="","",F68-F69)</f>
        <v>156.50928431109787</v>
      </c>
      <c r="H69" s="69">
        <f t="shared" ref="H69:H100" ca="1" si="27">IF(A69="","",B69-$B$3)</f>
        <v>2008</v>
      </c>
      <c r="I69" s="71">
        <f ca="1">IF(A69="","",MIN(H69,365)*G69*'Dados de entrada'!$B$11+G69*'Dados de entrada'!$B$12)</f>
        <v>5.2790581598133315</v>
      </c>
      <c r="J69" s="71">
        <f t="shared" ref="J69:J100" ca="1" si="28">IF(A69="","",V69)</f>
        <v>-3000</v>
      </c>
      <c r="K69" s="71">
        <f t="shared" ref="K69:K100" ca="1" si="29">IF(A69="","",V69)</f>
        <v>-3000</v>
      </c>
      <c r="L69" s="72">
        <f ca="1">IF(A69="","",IF(A69&lt;='Dados de entrada'!$J$2,-V68,-V68*(1-'Dados de entrada'!$J$3)))</f>
        <v>3000</v>
      </c>
      <c r="M69" s="72">
        <f ca="1">IF(A69="","",L69*'Dados de entrada'!$E$4)</f>
        <v>60.599999999999994</v>
      </c>
      <c r="N69" s="72">
        <f ca="1">IF(A69="","",IF(A69&lt;='Dados de entrada'!$E$2,'Dados de entrada'!$E$13*'Dados de entrada'!$E$10/'Dados de entrada'!$B$10,'Dados de entrada'!$E$13*'Dados de entrada'!$E$10/'Dados de entrada'!$B$10*(1-'Dados de entrada'!$E$3)))</f>
        <v>0</v>
      </c>
      <c r="O69" s="71">
        <f ca="1">IF(A69="","",IF(AND(A69='Dados de entrada'!$E$2),(O68*(1+'Dados de entrada'!$B$6)-L69)*(1-'Dados de entrada'!$E$3),IF(AND(A69&lt;&gt;'Dados de entrada'!$A$2),O68*(1+'Dados de entrada'!$B$6)^(C69/30)-L69,"")))</f>
        <v>87994.14980324918</v>
      </c>
      <c r="P69" s="71">
        <f ca="1">IF(A69="","",(O68*((1+'Dados de entrada'!$B$6)^(-DAYS360(B69,B68)/30)-1)-O68*((1+'Dados de entrada'!$H$10)^(-DAYS360(B69,B68)/360)-1))*4.65%)</f>
        <v>80.775438142816483</v>
      </c>
      <c r="Q69" s="75">
        <f ca="1">IF(E69&lt;&gt;"",'Dados de entrada'!$H$5-E69*'Dados de entrada'!$H$6,"")</f>
        <v>0</v>
      </c>
      <c r="R69" s="71">
        <f ca="1">IF(A69="","",IF(A69='Dados de entrada'!$E$2,PV('Dados de entrada'!$B$6,'Dados de entrada'!$B$10-'Dados de entrada'!$E$2+1,+L69*(-'Dados de entrada'!$E$3),,1)+L69*(1-'Dados de entrada'!$E$3)-M69-N69-P69-Q69,L69-M69-N69-P69-Q69))</f>
        <v>2858.6245618571838</v>
      </c>
      <c r="S69" s="74">
        <f t="shared" ca="1" si="21"/>
        <v>2008</v>
      </c>
      <c r="T69" s="67">
        <f ca="1">IF(E69&lt;&gt;"",(-E69)/((1+'Dados de entrada'!$B$6)^(S69/30)),"")</f>
        <v>116.29125511697839</v>
      </c>
      <c r="U69" s="67">
        <f t="shared" ca="1" si="22"/>
        <v>233512.8402748926</v>
      </c>
      <c r="V69" s="71">
        <f ca="1">IF(F69="","",-'Dados de entrada'!$B$2)</f>
        <v>-3000</v>
      </c>
      <c r="X69" s="93">
        <f>+Resumo!$E$12-Resumo!$E$20</f>
        <v>0</v>
      </c>
      <c r="Y69" s="116">
        <f t="shared" si="10"/>
        <v>48220</v>
      </c>
      <c r="Z69" s="81">
        <v>30</v>
      </c>
      <c r="AA69" s="81">
        <f t="shared" ca="1" si="11"/>
        <v>1978</v>
      </c>
      <c r="AB69" s="93">
        <f>IF(A69&lt;='Dados de entrada'!$B$18,'Dados de entrada'!$B$20,0)</f>
        <v>0</v>
      </c>
      <c r="AC69" s="93">
        <f>IF(OR(Resumo!$E$23&gt;0,Resumo!$E$28&gt;0,Resumo!$E$33&gt;0),IF(AND(A69&gt;'Dados de entrada'!$B$18,A69&lt;='Dados de entrada'!$B$10),'Dados de entrada'!$B$21,0),IF(AND(A69&gt;'Dados de entrada'!$B$18,A69&lt;='Dados de entrada'!$B$10),'Dados de entrada'!$B$21,IF(A69&lt;='Dados de entrada'!$B$18,X69,0)))</f>
        <v>3000</v>
      </c>
      <c r="AD69" s="93">
        <f ca="1">AC69/((1+'Dados de entrada'!$D$22)^($AA69/360))</f>
        <v>485.70796809909046</v>
      </c>
      <c r="AE69" s="93">
        <f>IF(A69&lt;='Dados de entrada'!$B$27,'Dados de entrada'!$B$29,0)</f>
        <v>0</v>
      </c>
      <c r="AF69" s="93">
        <f>IF(AND(A69&gt;'Dados de entrada'!$B$27,A69&lt;='Dados de entrada'!$B$10),'Dados de entrada'!$B$30,0)</f>
        <v>0</v>
      </c>
      <c r="AG69" s="93">
        <f ca="1">AF69/((1+'Dados de entrada'!$D$31)^($AA69/360))</f>
        <v>0</v>
      </c>
      <c r="AH69" s="93">
        <f>IF(A69&lt;='Dados de entrada'!$B$36,'Dados de entrada'!$B$38,0)</f>
        <v>0</v>
      </c>
      <c r="AI69" s="93">
        <f>IF(AND(A69&gt;'Dados de entrada'!$B$36,A69&lt;='Dados de entrada'!$B$10),'Dados de entrada'!$B$39,0)</f>
        <v>0</v>
      </c>
      <c r="AJ69" s="93">
        <f ca="1">AI69/((1+'Dados de entrada'!$D$40)^($AA69/360))</f>
        <v>0</v>
      </c>
      <c r="AK69" s="93">
        <f>IF(A69&lt;='Dados de entrada'!$B$45,'Dados de entrada'!$B$47,0)</f>
        <v>0</v>
      </c>
      <c r="AL69" s="93">
        <f>IF(AND(A69&gt;'Dados de entrada'!$B$45,A69&lt;='Dados de entrada'!$B$10),'Dados de entrada'!$B$48,0)</f>
        <v>0</v>
      </c>
      <c r="AM69" s="93">
        <f ca="1">AL69/((1+'Dados de entrada'!$D$49)^($AA69/360))</f>
        <v>0</v>
      </c>
      <c r="AN69" s="85">
        <f t="shared" ref="AN69:AN132" si="30">SUM(AB69:AC69,AE69:AF69,AH69:AI69,AK69:AL69)</f>
        <v>3000</v>
      </c>
    </row>
    <row r="70" spans="1:40">
      <c r="A70" s="69">
        <f>IF(A69="","",IF(A69+1&lt;='Dados de entrada'!$B$10,A69+1,""))</f>
        <v>67</v>
      </c>
      <c r="B70" s="70">
        <f t="shared" si="23"/>
        <v>48251</v>
      </c>
      <c r="C70" s="69">
        <f t="shared" si="24"/>
        <v>30</v>
      </c>
      <c r="D70" s="71">
        <f ca="1">IF(A70="","",F69*(1+'Dados de entrada'!$B$6)^(C70/30))</f>
        <v>18501.338680376895</v>
      </c>
      <c r="E70" s="71">
        <f ca="1">IF(A70="","",-'Dados de entrada'!$J$20)</f>
        <v>-615.26347669246445</v>
      </c>
      <c r="F70" s="71">
        <f t="shared" ca="1" si="25"/>
        <v>17886.075203684431</v>
      </c>
      <c r="G70" s="71">
        <f t="shared" ca="1" si="26"/>
        <v>160.45364183055426</v>
      </c>
      <c r="H70" s="69">
        <f t="shared" ca="1" si="27"/>
        <v>2039</v>
      </c>
      <c r="I70" s="71">
        <f ca="1">IF(A70="","",MIN(H70,365)*G70*'Dados de entrada'!$B$11+G70*'Dados de entrada'!$B$12)</f>
        <v>5.4121013389445949</v>
      </c>
      <c r="J70" s="71">
        <f t="shared" ca="1" si="28"/>
        <v>-3000</v>
      </c>
      <c r="K70" s="71">
        <f t="shared" ca="1" si="29"/>
        <v>-3000</v>
      </c>
      <c r="L70" s="72">
        <f ca="1">IF(A70="","",IF(A70&lt;='Dados de entrada'!$J$2,-V69,-V69*(1-'Dados de entrada'!$J$3)))</f>
        <v>3000</v>
      </c>
      <c r="M70" s="72">
        <f ca="1">IF(A70="","",L70*'Dados de entrada'!$E$4)</f>
        <v>60.599999999999994</v>
      </c>
      <c r="N70" s="72">
        <f ca="1">IF(A70="","",IF(A70&lt;='Dados de entrada'!$E$2,'Dados de entrada'!$E$13*'Dados de entrada'!$E$10/'Dados de entrada'!$B$10,'Dados de entrada'!$E$13*'Dados de entrada'!$E$10/'Dados de entrada'!$B$10*(1-'Dados de entrada'!$E$3)))</f>
        <v>0</v>
      </c>
      <c r="O70" s="71">
        <f ca="1">IF(A70="","",IF(AND(A70='Dados de entrada'!$E$2),(O69*(1+'Dados de entrada'!$B$6)-L70)*(1-'Dados de entrada'!$E$3),IF(AND(A70&lt;&gt;'Dados de entrada'!$A$2),O69*(1+'Dados de entrada'!$B$6)^(C70/30)-L70,"")))</f>
        <v>87211.78429038082</v>
      </c>
      <c r="P70" s="71">
        <f ca="1">IF(A70="","",(O69*((1+'Dados de entrada'!$B$6)^(-DAYS360(B70,B69)/30)-1)-O69*((1+'Dados de entrada'!$H$10)^(-DAYS360(B70,B69)/360)-1))*4.65%)</f>
        <v>80.080932867187073</v>
      </c>
      <c r="Q70" s="75">
        <f ca="1">IF(E70&lt;&gt;"",'Dados de entrada'!$H$5-E70*'Dados de entrada'!$H$6,"")</f>
        <v>0</v>
      </c>
      <c r="R70" s="71">
        <f ca="1">IF(A70="","",IF(A70='Dados de entrada'!$E$2,PV('Dados de entrada'!$B$6,'Dados de entrada'!$B$10-'Dados de entrada'!$E$2+1,+L70*(-'Dados de entrada'!$E$3),,1)+L70*(1-'Dados de entrada'!$E$3)-M70-N70-P70-Q70,L70-M70-N70-P70-Q70))</f>
        <v>2859.319067132813</v>
      </c>
      <c r="S70" s="74">
        <f t="shared" ca="1" si="21"/>
        <v>2039</v>
      </c>
      <c r="T70" s="67">
        <f ca="1">IF(E70&lt;&gt;"",(-E70)/((1+'Dados de entrada'!$B$6)^(S70/30)),"")</f>
        <v>113.33844994475645</v>
      </c>
      <c r="U70" s="67">
        <f t="shared" ca="1" si="22"/>
        <v>231097.09943735841</v>
      </c>
      <c r="V70" s="71">
        <f ca="1">IF(F70="","",-'Dados de entrada'!$B$2)</f>
        <v>-3000</v>
      </c>
      <c r="X70" s="93">
        <f>+Resumo!$E$12-Resumo!$E$20</f>
        <v>0</v>
      </c>
      <c r="Y70" s="116">
        <f t="shared" ref="Y70:Y133" si="31">EDATE(Y69,1)</f>
        <v>48251</v>
      </c>
      <c r="Z70" s="81">
        <v>30</v>
      </c>
      <c r="AA70" s="81">
        <f t="shared" ref="AA70:AA99" ca="1" si="32">AA69+Z70</f>
        <v>2008</v>
      </c>
      <c r="AB70" s="93">
        <f>IF(A70&lt;='Dados de entrada'!$B$18,'Dados de entrada'!$B$20,0)</f>
        <v>0</v>
      </c>
      <c r="AC70" s="93">
        <f>IF(OR(Resumo!$E$23&gt;0,Resumo!$E$28&gt;0,Resumo!$E$33&gt;0),IF(AND(A70&gt;'Dados de entrada'!$B$18,A70&lt;='Dados de entrada'!$B$10),'Dados de entrada'!$B$21,0),IF(AND(A70&gt;'Dados de entrada'!$B$18,A70&lt;='Dados de entrada'!$B$10),'Dados de entrada'!$B$21,IF(A70&lt;='Dados de entrada'!$B$18,X70,0)))</f>
        <v>3000</v>
      </c>
      <c r="AD70" s="93">
        <f ca="1">AC70/((1+'Dados de entrada'!$D$22)^($AA70/360))</f>
        <v>472.47856818977681</v>
      </c>
      <c r="AE70" s="93">
        <f>IF(A70&lt;='Dados de entrada'!$B$27,'Dados de entrada'!$B$29,0)</f>
        <v>0</v>
      </c>
      <c r="AF70" s="93">
        <f>IF(AND(A70&gt;'Dados de entrada'!$B$27,A70&lt;='Dados de entrada'!$B$10),'Dados de entrada'!$B$30,0)</f>
        <v>0</v>
      </c>
      <c r="AG70" s="93">
        <f ca="1">AF70/((1+'Dados de entrada'!$D$31)^($AA70/360))</f>
        <v>0</v>
      </c>
      <c r="AH70" s="93">
        <f>IF(A70&lt;='Dados de entrada'!$B$36,'Dados de entrada'!$B$38,0)</f>
        <v>0</v>
      </c>
      <c r="AI70" s="93">
        <f>IF(AND(A70&gt;'Dados de entrada'!$B$36,A70&lt;='Dados de entrada'!$B$10),'Dados de entrada'!$B$39,0)</f>
        <v>0</v>
      </c>
      <c r="AJ70" s="93">
        <f ca="1">AI70/((1+'Dados de entrada'!$D$40)^($AA70/360))</f>
        <v>0</v>
      </c>
      <c r="AK70" s="93">
        <f>IF(A70&lt;='Dados de entrada'!$B$45,'Dados de entrada'!$B$47,0)</f>
        <v>0</v>
      </c>
      <c r="AL70" s="93">
        <f>IF(AND(A70&gt;'Dados de entrada'!$B$45,A70&lt;='Dados de entrada'!$B$10),'Dados de entrada'!$B$48,0)</f>
        <v>0</v>
      </c>
      <c r="AM70" s="93">
        <f ca="1">AL70/((1+'Dados de entrada'!$D$49)^($AA70/360))</f>
        <v>0</v>
      </c>
      <c r="AN70" s="85">
        <f t="shared" si="30"/>
        <v>3000</v>
      </c>
    </row>
    <row r="71" spans="1:40">
      <c r="A71" s="69">
        <f>IF(A70="","",IF(A70+1&lt;='Dados de entrada'!$B$10,A70+1,""))</f>
        <v>68</v>
      </c>
      <c r="B71" s="70">
        <f t="shared" si="23"/>
        <v>48280</v>
      </c>
      <c r="C71" s="69">
        <f t="shared" si="24"/>
        <v>30</v>
      </c>
      <c r="D71" s="71">
        <f ca="1">IF(A71="","",F70*(1+'Dados de entrada'!$B$6)^(C71/30))</f>
        <v>18336.841275063147</v>
      </c>
      <c r="E71" s="71">
        <f ca="1">IF(A71="","",-'Dados de entrada'!$J$20)</f>
        <v>-615.26347669246445</v>
      </c>
      <c r="F71" s="71">
        <f t="shared" ca="1" si="25"/>
        <v>17721.577798370683</v>
      </c>
      <c r="G71" s="71">
        <f t="shared" ca="1" si="26"/>
        <v>164.49740531374846</v>
      </c>
      <c r="H71" s="69">
        <f t="shared" ca="1" si="27"/>
        <v>2068</v>
      </c>
      <c r="I71" s="71">
        <f ca="1">IF(A71="","",MIN(H71,365)*G71*'Dados de entrada'!$B$11+G71*'Dados de entrada'!$B$12)</f>
        <v>5.5484974812327348</v>
      </c>
      <c r="J71" s="71">
        <f t="shared" ca="1" si="28"/>
        <v>-3000</v>
      </c>
      <c r="K71" s="71">
        <f t="shared" ca="1" si="29"/>
        <v>-3000</v>
      </c>
      <c r="L71" s="72">
        <f ca="1">IF(A71="","",IF(A71&lt;='Dados de entrada'!$J$2,-V70,-V70*(1-'Dados de entrada'!$J$3)))</f>
        <v>3000</v>
      </c>
      <c r="M71" s="72">
        <f ca="1">IF(A71="","",L71*'Dados de entrada'!$E$4)</f>
        <v>60.599999999999994</v>
      </c>
      <c r="N71" s="72">
        <f ca="1">IF(A71="","",IF(A71&lt;='Dados de entrada'!$E$2,'Dados de entrada'!$E$13*'Dados de entrada'!$E$10/'Dados de entrada'!$B$10,'Dados de entrada'!$E$13*'Dados de entrada'!$E$10/'Dados de entrada'!$B$10*(1-'Dados de entrada'!$E$3)))</f>
        <v>0</v>
      </c>
      <c r="O71" s="71">
        <f ca="1">IF(A71="","",IF(AND(A71='Dados de entrada'!$E$2),(O70*(1+'Dados de entrada'!$B$6)-L71)*(1-'Dados de entrada'!$E$3),IF(AND(A71&lt;&gt;'Dados de entrada'!$A$2),O70*(1+'Dados de entrada'!$B$6)^(C71/30)-L71,"")))</f>
        <v>86409.701549188088</v>
      </c>
      <c r="P71" s="71">
        <f ca="1">IF(A71="","",(O70*((1+'Dados de entrada'!$B$6)^(-DAYS360(B71,B70)/30)-1)-O70*((1+'Dados de entrada'!$H$10)^(-DAYS360(B71,B70)/360)-1))*4.65%)</f>
        <v>79.368924622846933</v>
      </c>
      <c r="Q71" s="75">
        <f ca="1">IF(E71&lt;&gt;"",'Dados de entrada'!$H$5-E71*'Dados de entrada'!$H$6,"")</f>
        <v>0</v>
      </c>
      <c r="R71" s="71">
        <f ca="1">IF(A71="","",IF(A71='Dados de entrada'!$E$2,PV('Dados de entrada'!$B$6,'Dados de entrada'!$B$10-'Dados de entrada'!$E$2+1,+L71*(-'Dados de entrada'!$E$3),,1)+L71*(1-'Dados de entrada'!$E$3)-M71-N71-P71-Q71,L71-M71-N71-P71-Q71))</f>
        <v>2860.0310753771532</v>
      </c>
      <c r="S71" s="74">
        <f t="shared" ca="1" si="21"/>
        <v>2068</v>
      </c>
      <c r="T71" s="67">
        <f ca="1">IF(E71&lt;&gt;"",(-E71)/((1+'Dados de entrada'!$B$6)^(S71/30)),"")</f>
        <v>110.64406198555514</v>
      </c>
      <c r="U71" s="67">
        <f t="shared" ca="1" si="22"/>
        <v>228811.92018612803</v>
      </c>
      <c r="V71" s="71">
        <f ca="1">IF(F71="","",-'Dados de entrada'!$B$2)</f>
        <v>-3000</v>
      </c>
      <c r="X71" s="93">
        <f>+Resumo!$E$12-Resumo!$E$20</f>
        <v>0</v>
      </c>
      <c r="Y71" s="116">
        <f t="shared" si="31"/>
        <v>48280</v>
      </c>
      <c r="Z71" s="81">
        <v>30</v>
      </c>
      <c r="AA71" s="81">
        <f t="shared" ca="1" si="32"/>
        <v>2038</v>
      </c>
      <c r="AB71" s="93">
        <f>IF(A71&lt;='Dados de entrada'!$B$18,'Dados de entrada'!$B$20,0)</f>
        <v>0</v>
      </c>
      <c r="AC71" s="93">
        <f>IF(OR(Resumo!$E$23&gt;0,Resumo!$E$28&gt;0,Resumo!$E$33&gt;0),IF(AND(A71&gt;'Dados de entrada'!$B$18,A71&lt;='Dados de entrada'!$B$10),'Dados de entrada'!$B$21,0),IF(AND(A71&gt;'Dados de entrada'!$B$18,A71&lt;='Dados de entrada'!$B$10),'Dados de entrada'!$B$21,IF(A71&lt;='Dados de entrada'!$B$18,X71,0)))</f>
        <v>3000</v>
      </c>
      <c r="AD71" s="93">
        <f ca="1">AC71/((1+'Dados de entrada'!$D$22)^($AA71/360))</f>
        <v>459.60950213013302</v>
      </c>
      <c r="AE71" s="93">
        <f>IF(A71&lt;='Dados de entrada'!$B$27,'Dados de entrada'!$B$29,0)</f>
        <v>0</v>
      </c>
      <c r="AF71" s="93">
        <f>IF(AND(A71&gt;'Dados de entrada'!$B$27,A71&lt;='Dados de entrada'!$B$10),'Dados de entrada'!$B$30,0)</f>
        <v>0</v>
      </c>
      <c r="AG71" s="93">
        <f ca="1">AF71/((1+'Dados de entrada'!$D$31)^($AA71/360))</f>
        <v>0</v>
      </c>
      <c r="AH71" s="93">
        <f>IF(A71&lt;='Dados de entrada'!$B$36,'Dados de entrada'!$B$38,0)</f>
        <v>0</v>
      </c>
      <c r="AI71" s="93">
        <f>IF(AND(A71&gt;'Dados de entrada'!$B$36,A71&lt;='Dados de entrada'!$B$10),'Dados de entrada'!$B$39,0)</f>
        <v>0</v>
      </c>
      <c r="AJ71" s="93">
        <f ca="1">AI71/((1+'Dados de entrada'!$D$40)^($AA71/360))</f>
        <v>0</v>
      </c>
      <c r="AK71" s="93">
        <f>IF(A71&lt;='Dados de entrada'!$B$45,'Dados de entrada'!$B$47,0)</f>
        <v>0</v>
      </c>
      <c r="AL71" s="93">
        <f>IF(AND(A71&gt;'Dados de entrada'!$B$45,A71&lt;='Dados de entrada'!$B$10),'Dados de entrada'!$B$48,0)</f>
        <v>0</v>
      </c>
      <c r="AM71" s="93">
        <f ca="1">AL71/((1+'Dados de entrada'!$D$49)^($AA71/360))</f>
        <v>0</v>
      </c>
      <c r="AN71" s="85">
        <f t="shared" si="30"/>
        <v>3000</v>
      </c>
    </row>
    <row r="72" spans="1:40">
      <c r="A72" s="69">
        <f>IF(A71="","",IF(A71+1&lt;='Dados de entrada'!$B$10,A71+1,""))</f>
        <v>69</v>
      </c>
      <c r="B72" s="70">
        <f t="shared" si="23"/>
        <v>48311</v>
      </c>
      <c r="C72" s="69">
        <f t="shared" si="24"/>
        <v>30</v>
      </c>
      <c r="D72" s="71">
        <f ca="1">IF(A72="","",F71*(1+'Dados de entrada'!$B$6)^(C72/30))</f>
        <v>18168.19819506667</v>
      </c>
      <c r="E72" s="71">
        <f ca="1">IF(A72="","",-'Dados de entrada'!$J$20)</f>
        <v>-615.26347669246445</v>
      </c>
      <c r="F72" s="71">
        <f t="shared" ca="1" si="25"/>
        <v>17552.934718374207</v>
      </c>
      <c r="G72" s="71">
        <f t="shared" ca="1" si="26"/>
        <v>168.64307999647644</v>
      </c>
      <c r="H72" s="69">
        <f t="shared" ca="1" si="27"/>
        <v>2099</v>
      </c>
      <c r="I72" s="71">
        <f ca="1">IF(A72="","",MIN(H72,365)*G72*'Dados de entrada'!$B$11+G72*'Dados de entrada'!$B$12)</f>
        <v>5.6883310882811502</v>
      </c>
      <c r="J72" s="71">
        <f t="shared" ca="1" si="28"/>
        <v>-3000</v>
      </c>
      <c r="K72" s="71">
        <f t="shared" ca="1" si="29"/>
        <v>-3000</v>
      </c>
      <c r="L72" s="72">
        <f ca="1">IF(A72="","",IF(A72&lt;='Dados de entrada'!$J$2,-V71,-V71*(1-'Dados de entrada'!$J$3)))</f>
        <v>3000</v>
      </c>
      <c r="M72" s="72">
        <f ca="1">IF(A72="","",L72*'Dados de entrada'!$E$4)</f>
        <v>60.599999999999994</v>
      </c>
      <c r="N72" s="72">
        <f ca="1">IF(A72="","",IF(A72&lt;='Dados de entrada'!$E$2,'Dados de entrada'!$E$13*'Dados de entrada'!$E$10/'Dados de entrada'!$B$10,'Dados de entrada'!$E$13*'Dados de entrada'!$E$10/'Dados de entrada'!$B$10*(1-'Dados de entrada'!$E$3)))</f>
        <v>0</v>
      </c>
      <c r="O72" s="71">
        <f ca="1">IF(A72="","",IF(AND(A72='Dados de entrada'!$E$2),(O71*(1+'Dados de entrada'!$B$6)-L72)*(1-'Dados de entrada'!$E$3),IF(AND(A72&lt;&gt;'Dados de entrada'!$A$2),O71*(1+'Dados de entrada'!$B$6)^(C72/30)-L72,"")))</f>
        <v>85587.404664755391</v>
      </c>
      <c r="P72" s="71">
        <f ca="1">IF(A72="","",(O71*((1+'Dados de entrada'!$B$6)^(-DAYS360(B72,B71)/30)-1)-O71*((1+'Dados de entrada'!$H$10)^(-DAYS360(B72,B71)/360)-1))*4.65%)</f>
        <v>78.638972298800354</v>
      </c>
      <c r="Q72" s="75">
        <f ca="1">IF(E72&lt;&gt;"",'Dados de entrada'!$H$5-E72*'Dados de entrada'!$H$6,"")</f>
        <v>0</v>
      </c>
      <c r="R72" s="71">
        <f ca="1">IF(A72="","",IF(A72='Dados de entrada'!$E$2,PV('Dados de entrada'!$B$6,'Dados de entrada'!$B$10-'Dados de entrada'!$E$2+1,+L72*(-'Dados de entrada'!$E$3),,1)+L72*(1-'Dados de entrada'!$E$3)-M72-N72-P72-Q72,L72-M72-N72-P72-Q72))</f>
        <v>2860.7610277012</v>
      </c>
      <c r="S72" s="74">
        <f t="shared" ca="1" si="21"/>
        <v>2099</v>
      </c>
      <c r="T72" s="67">
        <f ca="1">IF(E72&lt;&gt;"",(-E72)/((1+'Dados de entrada'!$B$6)^(S72/30)),"")</f>
        <v>107.8346473122166</v>
      </c>
      <c r="U72" s="67">
        <f t="shared" ca="1" si="22"/>
        <v>226344.92470834265</v>
      </c>
      <c r="V72" s="71">
        <f ca="1">IF(F72="","",-'Dados de entrada'!$B$2)</f>
        <v>-3000</v>
      </c>
      <c r="X72" s="93">
        <f>+Resumo!$E$12-Resumo!$E$20</f>
        <v>0</v>
      </c>
      <c r="Y72" s="116">
        <f t="shared" si="31"/>
        <v>48311</v>
      </c>
      <c r="Z72" s="81">
        <v>30</v>
      </c>
      <c r="AA72" s="81">
        <f t="shared" ca="1" si="32"/>
        <v>2068</v>
      </c>
      <c r="AB72" s="93">
        <f>IF(A72&lt;='Dados de entrada'!$B$18,'Dados de entrada'!$B$20,0)</f>
        <v>0</v>
      </c>
      <c r="AC72" s="93">
        <f>IF(OR(Resumo!$E$23&gt;0,Resumo!$E$28&gt;0,Resumo!$E$33&gt;0),IF(AND(A72&gt;'Dados de entrada'!$B$18,A72&lt;='Dados de entrada'!$B$10),'Dados de entrada'!$B$21,0),IF(AND(A72&gt;'Dados de entrada'!$B$18,A72&lt;='Dados de entrada'!$B$10),'Dados de entrada'!$B$21,IF(A72&lt;='Dados de entrada'!$B$18,X72,0)))</f>
        <v>3000</v>
      </c>
      <c r="AD72" s="93">
        <f ca="1">AC72/((1+'Dados de entrada'!$D$22)^($AA72/360))</f>
        <v>447.09095537950679</v>
      </c>
      <c r="AE72" s="93">
        <f>IF(A72&lt;='Dados de entrada'!$B$27,'Dados de entrada'!$B$29,0)</f>
        <v>0</v>
      </c>
      <c r="AF72" s="93">
        <f>IF(AND(A72&gt;'Dados de entrada'!$B$27,A72&lt;='Dados de entrada'!$B$10),'Dados de entrada'!$B$30,0)</f>
        <v>0</v>
      </c>
      <c r="AG72" s="93">
        <f ca="1">AF72/((1+'Dados de entrada'!$D$31)^($AA72/360))</f>
        <v>0</v>
      </c>
      <c r="AH72" s="93">
        <f>IF(A72&lt;='Dados de entrada'!$B$36,'Dados de entrada'!$B$38,0)</f>
        <v>0</v>
      </c>
      <c r="AI72" s="93">
        <f>IF(AND(A72&gt;'Dados de entrada'!$B$36,A72&lt;='Dados de entrada'!$B$10),'Dados de entrada'!$B$39,0)</f>
        <v>0</v>
      </c>
      <c r="AJ72" s="93">
        <f ca="1">AI72/((1+'Dados de entrada'!$D$40)^($AA72/360))</f>
        <v>0</v>
      </c>
      <c r="AK72" s="93">
        <f>IF(A72&lt;='Dados de entrada'!$B$45,'Dados de entrada'!$B$47,0)</f>
        <v>0</v>
      </c>
      <c r="AL72" s="93">
        <f>IF(AND(A72&gt;'Dados de entrada'!$B$45,A72&lt;='Dados de entrada'!$B$10),'Dados de entrada'!$B$48,0)</f>
        <v>0</v>
      </c>
      <c r="AM72" s="93">
        <f ca="1">AL72/((1+'Dados de entrada'!$D$49)^($AA72/360))</f>
        <v>0</v>
      </c>
      <c r="AN72" s="85">
        <f t="shared" si="30"/>
        <v>3000</v>
      </c>
    </row>
    <row r="73" spans="1:40">
      <c r="A73" s="69">
        <f>IF(A72="","",IF(A72+1&lt;='Dados de entrada'!$B$10,A72+1,""))</f>
        <v>70</v>
      </c>
      <c r="B73" s="70">
        <f t="shared" si="23"/>
        <v>48341</v>
      </c>
      <c r="C73" s="69">
        <f t="shared" si="24"/>
        <v>30</v>
      </c>
      <c r="D73" s="71">
        <f ca="1">IF(A73="","",F72*(1+'Dados de entrada'!$B$6)^(C73/30))</f>
        <v>17995.304960815025</v>
      </c>
      <c r="E73" s="71">
        <f ca="1">IF(A73="","",-'Dados de entrada'!$J$20)</f>
        <v>-615.26347669246445</v>
      </c>
      <c r="F73" s="71">
        <f t="shared" ca="1" si="25"/>
        <v>17380.041484122561</v>
      </c>
      <c r="G73" s="71">
        <f t="shared" ca="1" si="26"/>
        <v>172.89323425164548</v>
      </c>
      <c r="H73" s="69">
        <f t="shared" ca="1" si="27"/>
        <v>2129</v>
      </c>
      <c r="I73" s="71">
        <f ca="1">IF(A73="","",MIN(H73,365)*G73*'Dados de entrada'!$B$11+G73*'Dados de entrada'!$B$12)</f>
        <v>5.8316887913080029</v>
      </c>
      <c r="J73" s="71">
        <f t="shared" ca="1" si="28"/>
        <v>-3000</v>
      </c>
      <c r="K73" s="71">
        <f t="shared" ca="1" si="29"/>
        <v>-3000</v>
      </c>
      <c r="L73" s="72">
        <f ca="1">IF(A73="","",IF(A73&lt;='Dados de entrada'!$J$2,-V72,-V72*(1-'Dados de entrada'!$J$3)))</f>
        <v>3000</v>
      </c>
      <c r="M73" s="72">
        <f ca="1">IF(A73="","",L73*'Dados de entrada'!$E$4)</f>
        <v>60.599999999999994</v>
      </c>
      <c r="N73" s="72">
        <f ca="1">IF(A73="","",IF(A73&lt;='Dados de entrada'!$E$2,'Dados de entrada'!$E$13*'Dados de entrada'!$E$10/'Dados de entrada'!$B$10,'Dados de entrada'!$E$13*'Dados de entrada'!$E$10/'Dados de entrada'!$B$10*(1-'Dados de entrada'!$E$3)))</f>
        <v>0</v>
      </c>
      <c r="O73" s="71">
        <f ca="1">IF(A73="","",IF(AND(A73='Dados de entrada'!$E$2),(O72*(1+'Dados de entrada'!$B$6)-L73)*(1-'Dados de entrada'!$E$3),IF(AND(A73&lt;&gt;'Dados de entrada'!$A$2),O72*(1+'Dados de entrada'!$B$6)^(C73/30)-L73,"")))</f>
        <v>84744.38419888397</v>
      </c>
      <c r="P73" s="71">
        <f ca="1">IF(A73="","",(O72*((1+'Dados de entrada'!$B$6)^(-DAYS360(B73,B72)/30)-1)-O72*((1+'Dados de entrada'!$H$10)^(-DAYS360(B73,B72)/360)-1))*4.65%)</f>
        <v>77.890623667142577</v>
      </c>
      <c r="Q73" s="75">
        <f ca="1">IF(E73&lt;&gt;"",'Dados de entrada'!$H$5-E73*'Dados de entrada'!$H$6,"")</f>
        <v>0</v>
      </c>
      <c r="R73" s="71">
        <f ca="1">IF(A73="","",IF(A73='Dados de entrada'!$E$2,PV('Dados de entrada'!$B$6,'Dados de entrada'!$B$10-'Dados de entrada'!$E$2+1,+L73*(-'Dados de entrada'!$E$3),,1)+L73*(1-'Dados de entrada'!$E$3)-M73-N73-P73-Q73,L73-M73-N73-P73-Q73))</f>
        <v>2861.5093763328573</v>
      </c>
      <c r="S73" s="74">
        <f t="shared" ca="1" si="21"/>
        <v>2129</v>
      </c>
      <c r="T73" s="67">
        <f ca="1">IF(E73&lt;&gt;"",(-E73)/((1+'Dados de entrada'!$B$6)^(S73/30)),"")</f>
        <v>105.18379815023249</v>
      </c>
      <c r="U73" s="67">
        <f t="shared" ca="1" si="22"/>
        <v>223936.30626184496</v>
      </c>
      <c r="V73" s="71">
        <f ca="1">IF(F73="","",-'Dados de entrada'!$B$2)</f>
        <v>-3000</v>
      </c>
      <c r="X73" s="93">
        <f>+Resumo!$E$12-Resumo!$E$20</f>
        <v>0</v>
      </c>
      <c r="Y73" s="116">
        <f t="shared" si="31"/>
        <v>48341</v>
      </c>
      <c r="Z73" s="81">
        <v>30</v>
      </c>
      <c r="AA73" s="81">
        <f t="shared" ca="1" si="32"/>
        <v>2098</v>
      </c>
      <c r="AB73" s="93">
        <f>IF(A73&lt;='Dados de entrada'!$B$18,'Dados de entrada'!$B$20,0)</f>
        <v>0</v>
      </c>
      <c r="AC73" s="93">
        <f>IF(OR(Resumo!$E$23&gt;0,Resumo!$E$28&gt;0,Resumo!$E$33&gt;0),IF(AND(A73&gt;'Dados de entrada'!$B$18,A73&lt;='Dados de entrada'!$B$10),'Dados de entrada'!$B$21,0),IF(AND(A73&gt;'Dados de entrada'!$B$18,A73&lt;='Dados de entrada'!$B$10),'Dados de entrada'!$B$21,IF(A73&lt;='Dados de entrada'!$B$18,X73,0)))</f>
        <v>3000</v>
      </c>
      <c r="AD73" s="93">
        <f ca="1">AC73/((1+'Dados de entrada'!$D$22)^($AA73/360))</f>
        <v>434.91338071936462</v>
      </c>
      <c r="AE73" s="93">
        <f>IF(A73&lt;='Dados de entrada'!$B$27,'Dados de entrada'!$B$29,0)</f>
        <v>0</v>
      </c>
      <c r="AF73" s="93">
        <f>IF(AND(A73&gt;'Dados de entrada'!$B$27,A73&lt;='Dados de entrada'!$B$10),'Dados de entrada'!$B$30,0)</f>
        <v>0</v>
      </c>
      <c r="AG73" s="93">
        <f ca="1">AF73/((1+'Dados de entrada'!$D$31)^($AA73/360))</f>
        <v>0</v>
      </c>
      <c r="AH73" s="93">
        <f>IF(A73&lt;='Dados de entrada'!$B$36,'Dados de entrada'!$B$38,0)</f>
        <v>0</v>
      </c>
      <c r="AI73" s="93">
        <f>IF(AND(A73&gt;'Dados de entrada'!$B$36,A73&lt;='Dados de entrada'!$B$10),'Dados de entrada'!$B$39,0)</f>
        <v>0</v>
      </c>
      <c r="AJ73" s="93">
        <f ca="1">AI73/((1+'Dados de entrada'!$D$40)^($AA73/360))</f>
        <v>0</v>
      </c>
      <c r="AK73" s="93">
        <f>IF(A73&lt;='Dados de entrada'!$B$45,'Dados de entrada'!$B$47,0)</f>
        <v>0</v>
      </c>
      <c r="AL73" s="93">
        <f>IF(AND(A73&gt;'Dados de entrada'!$B$45,A73&lt;='Dados de entrada'!$B$10),'Dados de entrada'!$B$48,0)</f>
        <v>0</v>
      </c>
      <c r="AM73" s="93">
        <f ca="1">AL73/((1+'Dados de entrada'!$D$49)^($AA73/360))</f>
        <v>0</v>
      </c>
      <c r="AN73" s="85">
        <f t="shared" si="30"/>
        <v>3000</v>
      </c>
    </row>
    <row r="74" spans="1:40">
      <c r="A74" s="69">
        <f>IF(A73="","",IF(A73+1&lt;='Dados de entrada'!$B$10,A73+1,""))</f>
        <v>71</v>
      </c>
      <c r="B74" s="70">
        <f t="shared" si="23"/>
        <v>48372</v>
      </c>
      <c r="C74" s="69">
        <f t="shared" si="24"/>
        <v>30</v>
      </c>
      <c r="D74" s="71">
        <f ca="1">IF(A74="","",F73*(1+'Dados de entrada'!$B$6)^(C74/30))</f>
        <v>17818.05445963455</v>
      </c>
      <c r="E74" s="71">
        <f ca="1">IF(A74="","",-'Dados de entrada'!$J$20)</f>
        <v>-615.26347669246445</v>
      </c>
      <c r="F74" s="71">
        <f t="shared" ca="1" si="25"/>
        <v>17202.790982942086</v>
      </c>
      <c r="G74" s="71">
        <f t="shared" ca="1" si="26"/>
        <v>177.25050118047511</v>
      </c>
      <c r="H74" s="69">
        <f t="shared" ca="1" si="27"/>
        <v>2160</v>
      </c>
      <c r="I74" s="71">
        <f ca="1">IF(A74="","",MIN(H74,365)*G74*'Dados de entrada'!$B$11+G74*'Dados de entrada'!$B$12)</f>
        <v>5.9786594048174253</v>
      </c>
      <c r="J74" s="71">
        <f t="shared" ca="1" si="28"/>
        <v>-3000</v>
      </c>
      <c r="K74" s="71">
        <f t="shared" ca="1" si="29"/>
        <v>-3000</v>
      </c>
      <c r="L74" s="72">
        <f ca="1">IF(A74="","",IF(A74&lt;='Dados de entrada'!$J$2,-V73,-V73*(1-'Dados de entrada'!$J$3)))</f>
        <v>3000</v>
      </c>
      <c r="M74" s="72">
        <f ca="1">IF(A74="","",L74*'Dados de entrada'!$E$4)</f>
        <v>60.599999999999994</v>
      </c>
      <c r="N74" s="72">
        <f ca="1">IF(A74="","",IF(A74&lt;='Dados de entrada'!$E$2,'Dados de entrada'!$E$13*'Dados de entrada'!$E$10/'Dados de entrada'!$B$10,'Dados de entrada'!$E$13*'Dados de entrada'!$E$10/'Dados de entrada'!$B$10*(1-'Dados de entrada'!$E$3)))</f>
        <v>0</v>
      </c>
      <c r="O74" s="71">
        <f ca="1">IF(A74="","",IF(AND(A74='Dados de entrada'!$E$2),(O73*(1+'Dados de entrada'!$B$6)-L74)*(1-'Dados de entrada'!$E$3),IF(AND(A74&lt;&gt;'Dados de entrada'!$A$2),O73*(1+'Dados de entrada'!$B$6)^(C74/30)-L74,"")))</f>
        <v>83880.1178744793</v>
      </c>
      <c r="P74" s="71">
        <f ca="1">IF(A74="","",(O73*((1+'Dados de entrada'!$B$6)^(-DAYS360(B74,B73)/30)-1)-O73*((1+'Dados de entrada'!$H$10)^(-DAYS360(B74,B73)/360)-1))*4.65%)</f>
        <v>77.123415102890704</v>
      </c>
      <c r="Q74" s="75">
        <f ca="1">IF(E74&lt;&gt;"",'Dados de entrada'!$H$5-E74*'Dados de entrada'!$H$6,"")</f>
        <v>0</v>
      </c>
      <c r="R74" s="71">
        <f ca="1">IF(A74="","",IF(A74='Dados de entrada'!$E$2,PV('Dados de entrada'!$B$6,'Dados de entrada'!$B$10-'Dados de entrada'!$E$2+1,+L74*(-'Dados de entrada'!$E$3),,1)+L74*(1-'Dados de entrada'!$E$3)-M74-N74-P74-Q74,L74-M74-N74-P74-Q74))</f>
        <v>2862.2765848971094</v>
      </c>
      <c r="S74" s="74">
        <f t="shared" ca="1" si="21"/>
        <v>2160</v>
      </c>
      <c r="T74" s="67">
        <f ca="1">IF(E74&lt;&gt;"",(-E74)/((1+'Dados de entrada'!$B$6)^(S74/30)),"")</f>
        <v>102.51302756735782</v>
      </c>
      <c r="U74" s="67">
        <f t="shared" ca="1" si="22"/>
        <v>221428.13954549289</v>
      </c>
      <c r="V74" s="71">
        <f ca="1">IF(F74="","",-'Dados de entrada'!$B$2)</f>
        <v>-3000</v>
      </c>
      <c r="X74" s="93">
        <f>+Resumo!$E$12-Resumo!$E$20</f>
        <v>0</v>
      </c>
      <c r="Y74" s="116">
        <f t="shared" si="31"/>
        <v>48372</v>
      </c>
      <c r="Z74" s="81">
        <v>30</v>
      </c>
      <c r="AA74" s="81">
        <f t="shared" ca="1" si="32"/>
        <v>2128</v>
      </c>
      <c r="AB74" s="93">
        <f>IF(A74&lt;='Dados de entrada'!$B$18,'Dados de entrada'!$B$20,0)</f>
        <v>0</v>
      </c>
      <c r="AC74" s="93">
        <f>IF(OR(Resumo!$E$23&gt;0,Resumo!$E$28&gt;0,Resumo!$E$33&gt;0),IF(AND(A74&gt;'Dados de entrada'!$B$18,A74&lt;='Dados de entrada'!$B$10),'Dados de entrada'!$B$21,0),IF(AND(A74&gt;'Dados de entrada'!$B$18,A74&lt;='Dados de entrada'!$B$10),'Dados de entrada'!$B$21,IF(A74&lt;='Dados de entrada'!$B$18,X74,0)))</f>
        <v>3000</v>
      </c>
      <c r="AD74" s="93">
        <f ca="1">AC74/((1+'Dados de entrada'!$D$22)^($AA74/360))</f>
        <v>423.06749097214447</v>
      </c>
      <c r="AE74" s="93">
        <f>IF(A74&lt;='Dados de entrada'!$B$27,'Dados de entrada'!$B$29,0)</f>
        <v>0</v>
      </c>
      <c r="AF74" s="93">
        <f>IF(AND(A74&gt;'Dados de entrada'!$B$27,A74&lt;='Dados de entrada'!$B$10),'Dados de entrada'!$B$30,0)</f>
        <v>0</v>
      </c>
      <c r="AG74" s="93">
        <f ca="1">AF74/((1+'Dados de entrada'!$D$31)^($AA74/360))</f>
        <v>0</v>
      </c>
      <c r="AH74" s="93">
        <f>IF(A74&lt;='Dados de entrada'!$B$36,'Dados de entrada'!$B$38,0)</f>
        <v>0</v>
      </c>
      <c r="AI74" s="93">
        <f>IF(AND(A74&gt;'Dados de entrada'!$B$36,A74&lt;='Dados de entrada'!$B$10),'Dados de entrada'!$B$39,0)</f>
        <v>0</v>
      </c>
      <c r="AJ74" s="93">
        <f ca="1">AI74/((1+'Dados de entrada'!$D$40)^($AA74/360))</f>
        <v>0</v>
      </c>
      <c r="AK74" s="93">
        <f>IF(A74&lt;='Dados de entrada'!$B$45,'Dados de entrada'!$B$47,0)</f>
        <v>0</v>
      </c>
      <c r="AL74" s="93">
        <f>IF(AND(A74&gt;'Dados de entrada'!$B$45,A74&lt;='Dados de entrada'!$B$10),'Dados de entrada'!$B$48,0)</f>
        <v>0</v>
      </c>
      <c r="AM74" s="93">
        <f ca="1">AL74/((1+'Dados de entrada'!$D$49)^($AA74/360))</f>
        <v>0</v>
      </c>
      <c r="AN74" s="85">
        <f t="shared" si="30"/>
        <v>3000</v>
      </c>
    </row>
    <row r="75" spans="1:40">
      <c r="A75" s="69">
        <f>IF(A74="","",IF(A74+1&lt;='Dados de entrada'!$B$10,A74+1,""))</f>
        <v>72</v>
      </c>
      <c r="B75" s="70">
        <f t="shared" si="23"/>
        <v>48402</v>
      </c>
      <c r="C75" s="69">
        <f t="shared" si="24"/>
        <v>30</v>
      </c>
      <c r="D75" s="71">
        <f ca="1">IF(A75="","",F74*(1+'Dados de entrada'!$B$6)^(C75/30))</f>
        <v>17636.336879390772</v>
      </c>
      <c r="E75" s="71">
        <f ca="1">IF(A75="","",-'Dados de entrada'!$J$20)</f>
        <v>-615.26347669246445</v>
      </c>
      <c r="F75" s="71">
        <f t="shared" ca="1" si="25"/>
        <v>17021.073402698308</v>
      </c>
      <c r="G75" s="71">
        <f t="shared" ca="1" si="26"/>
        <v>181.71758024377777</v>
      </c>
      <c r="H75" s="69">
        <f t="shared" ca="1" si="27"/>
        <v>2190</v>
      </c>
      <c r="I75" s="71">
        <f ca="1">IF(A75="","",MIN(H75,365)*G75*'Dados de entrada'!$B$11+G75*'Dados de entrada'!$B$12)</f>
        <v>6.129333981622624</v>
      </c>
      <c r="J75" s="71">
        <f t="shared" ca="1" si="28"/>
        <v>-3000</v>
      </c>
      <c r="K75" s="71">
        <f t="shared" ca="1" si="29"/>
        <v>-3000</v>
      </c>
      <c r="L75" s="72">
        <f ca="1">IF(A75="","",IF(A75&lt;='Dados de entrada'!$J$2,-V74,-V74*(1-'Dados de entrada'!$J$3)))</f>
        <v>3000</v>
      </c>
      <c r="M75" s="72">
        <f ca="1">IF(A75="","",L75*'Dados de entrada'!$E$4)</f>
        <v>60.599999999999994</v>
      </c>
      <c r="N75" s="72">
        <f ca="1">IF(A75="","",IF(A75&lt;='Dados de entrada'!$E$2,'Dados de entrada'!$E$13*'Dados de entrada'!$E$10/'Dados de entrada'!$B$10,'Dados de entrada'!$E$13*'Dados de entrada'!$E$10/'Dados de entrada'!$B$10*(1-'Dados de entrada'!$E$3)))</f>
        <v>0</v>
      </c>
      <c r="O75" s="71">
        <f ca="1">IF(A75="","",IF(AND(A75='Dados de entrada'!$E$2),(O74*(1+'Dados de entrada'!$B$6)-L75)*(1-'Dados de entrada'!$E$3),IF(AND(A75&lt;&gt;'Dados de entrada'!$A$2),O74*(1+'Dados de entrada'!$B$6)^(C75/30)-L75,"")))</f>
        <v>82994.070251984333</v>
      </c>
      <c r="P75" s="71">
        <f ca="1">IF(A75="","",(O74*((1+'Dados de entrada'!$B$6)^(-DAYS360(B75,B74)/30)-1)-O74*((1+'Dados de entrada'!$H$10)^(-DAYS360(B75,B74)/360)-1))*4.65%)</f>
        <v>76.336871296753898</v>
      </c>
      <c r="Q75" s="75">
        <f ca="1">IF(E75&lt;&gt;"",'Dados de entrada'!$H$5-E75*'Dados de entrada'!$H$6,"")</f>
        <v>0</v>
      </c>
      <c r="R75" s="71">
        <f ca="1">IF(A75="","",IF(A75='Dados de entrada'!$E$2,PV('Dados de entrada'!$B$6,'Dados de entrada'!$B$10-'Dados de entrada'!$E$2+1,+L75*(-'Dados de entrada'!$E$3),,1)+L75*(1-'Dados de entrada'!$E$3)-M75-N75-P75-Q75,L75-M75-N75-P75-Q75))</f>
        <v>2863.0631287032461</v>
      </c>
      <c r="S75" s="74">
        <f t="shared" ca="1" si="21"/>
        <v>2190</v>
      </c>
      <c r="T75" s="67">
        <f ca="1">IF(E75&lt;&gt;"",(-E75)/((1+'Dados de entrada'!$B$6)^(S75/30)),"")</f>
        <v>99.992997317408637</v>
      </c>
      <c r="U75" s="67">
        <f t="shared" ca="1" si="22"/>
        <v>218984.66412512492</v>
      </c>
      <c r="V75" s="71">
        <f ca="1">IF(F75="","",-'Dados de entrada'!$B$2)</f>
        <v>-3000</v>
      </c>
      <c r="X75" s="93">
        <f>+Resumo!$E$12-Resumo!$E$20</f>
        <v>0</v>
      </c>
      <c r="Y75" s="116">
        <f t="shared" si="31"/>
        <v>48402</v>
      </c>
      <c r="Z75" s="81">
        <v>30</v>
      </c>
      <c r="AA75" s="81">
        <f t="shared" ca="1" si="32"/>
        <v>2158</v>
      </c>
      <c r="AB75" s="93">
        <f>IF(A75&lt;='Dados de entrada'!$B$18,'Dados de entrada'!$B$20,0)</f>
        <v>0</v>
      </c>
      <c r="AC75" s="93">
        <f>IF(OR(Resumo!$E$23&gt;0,Resumo!$E$28&gt;0,Resumo!$E$33&gt;0),IF(AND(A75&gt;'Dados de entrada'!$B$18,A75&lt;='Dados de entrada'!$B$10),'Dados de entrada'!$B$21,0),IF(AND(A75&gt;'Dados de entrada'!$B$18,A75&lt;='Dados de entrada'!$B$10),'Dados de entrada'!$B$21,IF(A75&lt;='Dados de entrada'!$B$18,X75,0)))</f>
        <v>3000</v>
      </c>
      <c r="AD75" s="93">
        <f ca="1">AC75/((1+'Dados de entrada'!$D$22)^($AA75/360))</f>
        <v>411.54425191842853</v>
      </c>
      <c r="AE75" s="93">
        <f>IF(A75&lt;='Dados de entrada'!$B$27,'Dados de entrada'!$B$29,0)</f>
        <v>0</v>
      </c>
      <c r="AF75" s="93">
        <f>IF(AND(A75&gt;'Dados de entrada'!$B$27,A75&lt;='Dados de entrada'!$B$10),'Dados de entrada'!$B$30,0)</f>
        <v>0</v>
      </c>
      <c r="AG75" s="93">
        <f ca="1">AF75/((1+'Dados de entrada'!$D$31)^($AA75/360))</f>
        <v>0</v>
      </c>
      <c r="AH75" s="93">
        <f>IF(A75&lt;='Dados de entrada'!$B$36,'Dados de entrada'!$B$38,0)</f>
        <v>0</v>
      </c>
      <c r="AI75" s="93">
        <f>IF(AND(A75&gt;'Dados de entrada'!$B$36,A75&lt;='Dados de entrada'!$B$10),'Dados de entrada'!$B$39,0)</f>
        <v>0</v>
      </c>
      <c r="AJ75" s="93">
        <f ca="1">AI75/((1+'Dados de entrada'!$D$40)^($AA75/360))</f>
        <v>0</v>
      </c>
      <c r="AK75" s="93">
        <f>IF(A75&lt;='Dados de entrada'!$B$45,'Dados de entrada'!$B$47,0)</f>
        <v>0</v>
      </c>
      <c r="AL75" s="93">
        <f>IF(AND(A75&gt;'Dados de entrada'!$B$45,A75&lt;='Dados de entrada'!$B$10),'Dados de entrada'!$B$48,0)</f>
        <v>0</v>
      </c>
      <c r="AM75" s="93">
        <f ca="1">AL75/((1+'Dados de entrada'!$D$49)^($AA75/360))</f>
        <v>0</v>
      </c>
      <c r="AN75" s="85">
        <f t="shared" si="30"/>
        <v>3000</v>
      </c>
    </row>
    <row r="76" spans="1:40">
      <c r="A76" s="69">
        <f>IF(A75="","",IF(A75+1&lt;='Dados de entrada'!$B$10,A75+1,""))</f>
        <v>73</v>
      </c>
      <c r="B76" s="70">
        <f t="shared" si="23"/>
        <v>48433</v>
      </c>
      <c r="C76" s="69">
        <f t="shared" si="24"/>
        <v>30</v>
      </c>
      <c r="D76" s="71">
        <f ca="1">IF(A76="","",F75*(1+'Dados de entrada'!$B$6)^(C76/30))</f>
        <v>17450.039640456413</v>
      </c>
      <c r="E76" s="71">
        <f ca="1">IF(A76="","",-'Dados de entrada'!$J$20)</f>
        <v>-615.26347669246445</v>
      </c>
      <c r="F76" s="71">
        <f t="shared" ca="1" si="25"/>
        <v>16834.776163763949</v>
      </c>
      <c r="G76" s="71">
        <f t="shared" ca="1" si="26"/>
        <v>186.29723893435948</v>
      </c>
      <c r="H76" s="69">
        <f t="shared" ca="1" si="27"/>
        <v>2221</v>
      </c>
      <c r="I76" s="71">
        <f ca="1">IF(A76="","",MIN(H76,365)*G76*'Dados de entrada'!$B$11+G76*'Dados de entrada'!$B$12)</f>
        <v>6.2838058692559455</v>
      </c>
      <c r="J76" s="71">
        <f t="shared" ca="1" si="28"/>
        <v>-3000</v>
      </c>
      <c r="K76" s="71">
        <f t="shared" ca="1" si="29"/>
        <v>-3000</v>
      </c>
      <c r="L76" s="72">
        <f ca="1">IF(A76="","",IF(A76&lt;='Dados de entrada'!$J$2,-V75,-V75*(1-'Dados de entrada'!$J$3)))</f>
        <v>3000</v>
      </c>
      <c r="M76" s="72">
        <f ca="1">IF(A76="","",L76*'Dados de entrada'!$E$4)</f>
        <v>60.599999999999994</v>
      </c>
      <c r="N76" s="72">
        <f ca="1">IF(A76="","",IF(A76&lt;='Dados de entrada'!$E$2,'Dados de entrada'!$E$13*'Dados de entrada'!$E$10/'Dados de entrada'!$B$10,'Dados de entrada'!$E$13*'Dados de entrada'!$E$10/'Dados de entrada'!$B$10*(1-'Dados de entrada'!$E$3)))</f>
        <v>0</v>
      </c>
      <c r="O76" s="71">
        <f ca="1">IF(A76="","",IF(AND(A76='Dados de entrada'!$E$2),(O75*(1+'Dados de entrada'!$B$6)-L76)*(1-'Dados de entrada'!$E$3),IF(AND(A76&lt;&gt;'Dados de entrada'!$A$2),O75*(1+'Dados de entrada'!$B$6)^(C76/30)-L76,"")))</f>
        <v>82085.692397658277</v>
      </c>
      <c r="P76" s="71">
        <f ca="1">IF(A76="","",(O75*((1+'Dados de entrada'!$B$6)^(-DAYS360(B76,B75)/30)-1)-O75*((1+'Dados de entrada'!$H$10)^(-DAYS360(B76,B75)/360)-1))*4.65%)</f>
        <v>75.530504960664473</v>
      </c>
      <c r="Q76" s="75">
        <f ca="1">IF(E76&lt;&gt;"",'Dados de entrada'!$H$5-E76*'Dados de entrada'!$H$6,"")</f>
        <v>0</v>
      </c>
      <c r="R76" s="71">
        <f ca="1">IF(A76="","",IF(A76='Dados de entrada'!$E$2,PV('Dados de entrada'!$B$6,'Dados de entrada'!$B$10-'Dados de entrada'!$E$2+1,+L76*(-'Dados de entrada'!$E$3),,1)+L76*(1-'Dados de entrada'!$E$3)-M76-N76-P76-Q76,L76-M76-N76-P76-Q76))</f>
        <v>2863.8694950393356</v>
      </c>
      <c r="S76" s="74">
        <f t="shared" ca="1" si="21"/>
        <v>2221</v>
      </c>
      <c r="T76" s="67">
        <f ca="1">IF(E76&lt;&gt;"",(-E76)/((1+'Dados de entrada'!$B$6)^(S76/30)),"")</f>
        <v>97.454028764977323</v>
      </c>
      <c r="U76" s="67">
        <f t="shared" ca="1" si="22"/>
        <v>216445.39788701464</v>
      </c>
      <c r="V76" s="71">
        <f ca="1">IF(F76="","",-'Dados de entrada'!$B$2)</f>
        <v>-3000</v>
      </c>
      <c r="X76" s="93">
        <f>+Resumo!$E$12-Resumo!$E$20</f>
        <v>0</v>
      </c>
      <c r="Y76" s="116">
        <f t="shared" si="31"/>
        <v>48433</v>
      </c>
      <c r="Z76" s="81">
        <v>30</v>
      </c>
      <c r="AA76" s="81">
        <f t="shared" ca="1" si="32"/>
        <v>2188</v>
      </c>
      <c r="AB76" s="93">
        <f>IF(A76&lt;='Dados de entrada'!$B$18,'Dados de entrada'!$B$20,0)</f>
        <v>0</v>
      </c>
      <c r="AC76" s="93">
        <f>IF(OR(Resumo!$E$23&gt;0,Resumo!$E$28&gt;0,Resumo!$E$33&gt;0),IF(AND(A76&gt;'Dados de entrada'!$B$18,A76&lt;='Dados de entrada'!$B$10),'Dados de entrada'!$B$21,0),IF(AND(A76&gt;'Dados de entrada'!$B$18,A76&lt;='Dados de entrada'!$B$10),'Dados de entrada'!$B$21,IF(A76&lt;='Dados de entrada'!$B$18,X76,0)))</f>
        <v>3000</v>
      </c>
      <c r="AD76" s="93">
        <f ca="1">AC76/((1+'Dados de entrada'!$D$22)^($AA76/360))</f>
        <v>400.33487540703175</v>
      </c>
      <c r="AE76" s="93">
        <f>IF(A76&lt;='Dados de entrada'!$B$27,'Dados de entrada'!$B$29,0)</f>
        <v>0</v>
      </c>
      <c r="AF76" s="93">
        <f>IF(AND(A76&gt;'Dados de entrada'!$B$27,A76&lt;='Dados de entrada'!$B$10),'Dados de entrada'!$B$30,0)</f>
        <v>0</v>
      </c>
      <c r="AG76" s="93">
        <f ca="1">AF76/((1+'Dados de entrada'!$D$31)^($AA76/360))</f>
        <v>0</v>
      </c>
      <c r="AH76" s="93">
        <f>IF(A76&lt;='Dados de entrada'!$B$36,'Dados de entrada'!$B$38,0)</f>
        <v>0</v>
      </c>
      <c r="AI76" s="93">
        <f>IF(AND(A76&gt;'Dados de entrada'!$B$36,A76&lt;='Dados de entrada'!$B$10),'Dados de entrada'!$B$39,0)</f>
        <v>0</v>
      </c>
      <c r="AJ76" s="93">
        <f ca="1">AI76/((1+'Dados de entrada'!$D$40)^($AA76/360))</f>
        <v>0</v>
      </c>
      <c r="AK76" s="93">
        <f>IF(A76&lt;='Dados de entrada'!$B$45,'Dados de entrada'!$B$47,0)</f>
        <v>0</v>
      </c>
      <c r="AL76" s="93">
        <f>IF(AND(A76&gt;'Dados de entrada'!$B$45,A76&lt;='Dados de entrada'!$B$10),'Dados de entrada'!$B$48,0)</f>
        <v>0</v>
      </c>
      <c r="AM76" s="93">
        <f ca="1">AL76/((1+'Dados de entrada'!$D$49)^($AA76/360))</f>
        <v>0</v>
      </c>
      <c r="AN76" s="85">
        <f t="shared" si="30"/>
        <v>3000</v>
      </c>
    </row>
    <row r="77" spans="1:40">
      <c r="A77" s="69">
        <f>IF(A76="","",IF(A76+1&lt;='Dados de entrada'!$B$10,A76+1,""))</f>
        <v>74</v>
      </c>
      <c r="B77" s="70">
        <f t="shared" si="23"/>
        <v>48464</v>
      </c>
      <c r="C77" s="69">
        <f t="shared" si="24"/>
        <v>30</v>
      </c>
      <c r="D77" s="71">
        <f ca="1">IF(A77="","",F76*(1+'Dados de entrada'!$B$6)^(C77/30))</f>
        <v>17259.04732596485</v>
      </c>
      <c r="E77" s="71">
        <f ca="1">IF(A77="","",-'Dados de entrada'!$J$20)</f>
        <v>-615.26347669246445</v>
      </c>
      <c r="F77" s="71">
        <f t="shared" ca="1" si="25"/>
        <v>16643.783849272386</v>
      </c>
      <c r="G77" s="71">
        <f t="shared" ca="1" si="26"/>
        <v>190.99231449156287</v>
      </c>
      <c r="H77" s="69">
        <f t="shared" ca="1" si="27"/>
        <v>2252</v>
      </c>
      <c r="I77" s="71">
        <f ca="1">IF(A77="","",MIN(H77,365)*G77*'Dados de entrada'!$B$11+G77*'Dados de entrada'!$B$12)</f>
        <v>6.4421707678004161</v>
      </c>
      <c r="J77" s="71">
        <f t="shared" ca="1" si="28"/>
        <v>-3000</v>
      </c>
      <c r="K77" s="71">
        <f t="shared" ca="1" si="29"/>
        <v>-3000</v>
      </c>
      <c r="L77" s="72">
        <f ca="1">IF(A77="","",IF(A77&lt;='Dados de entrada'!$J$2,-V76,-V76*(1-'Dados de entrada'!$J$3)))</f>
        <v>3000</v>
      </c>
      <c r="M77" s="72">
        <f ca="1">IF(A77="","",L77*'Dados de entrada'!$E$4)</f>
        <v>60.599999999999994</v>
      </c>
      <c r="N77" s="72">
        <f ca="1">IF(A77="","",IF(A77&lt;='Dados de entrada'!$E$2,'Dados de entrada'!$E$13*'Dados de entrada'!$E$10/'Dados de entrada'!$B$10,'Dados de entrada'!$E$13*'Dados de entrada'!$E$10/'Dados de entrada'!$B$10*(1-'Dados de entrada'!$E$3)))</f>
        <v>0</v>
      </c>
      <c r="O77" s="71">
        <f ca="1">IF(A77="","",IF(AND(A77='Dados de entrada'!$E$2),(O76*(1+'Dados de entrada'!$B$6)-L77)*(1-'Dados de entrada'!$E$3),IF(AND(A77&lt;&gt;'Dados de entrada'!$A$2),O76*(1+'Dados de entrada'!$B$6)^(C77/30)-L77,"")))</f>
        <v>81154.421543495249</v>
      </c>
      <c r="P77" s="71">
        <f ca="1">IF(A77="","",(O76*((1+'Dados de entrada'!$B$6)^(-DAYS360(B77,B76)/30)-1)-O76*((1+'Dados de entrada'!$H$10)^(-DAYS360(B77,B76)/360)-1))*4.65%)</f>
        <v>74.703816525888101</v>
      </c>
      <c r="Q77" s="75">
        <f ca="1">IF(E77&lt;&gt;"",'Dados de entrada'!$H$5-E77*'Dados de entrada'!$H$6,"")</f>
        <v>0</v>
      </c>
      <c r="R77" s="71">
        <f ca="1">IF(A77="","",IF(A77='Dados de entrada'!$E$2,PV('Dados de entrada'!$B$6,'Dados de entrada'!$B$10-'Dados de entrada'!$E$2+1,+L77*(-'Dados de entrada'!$E$3),,1)+L77*(1-'Dados de entrada'!$E$3)-M77-N77-P77-Q77,L77-M77-N77-P77-Q77))</f>
        <v>2864.6961834741119</v>
      </c>
      <c r="S77" s="74">
        <f t="shared" ca="1" si="21"/>
        <v>2252</v>
      </c>
      <c r="T77" s="67">
        <f ca="1">IF(E77&lt;&gt;"",(-E77)/((1+'Dados de entrada'!$B$6)^(S77/30)),"")</f>
        <v>94.979528340146359</v>
      </c>
      <c r="U77" s="67">
        <f t="shared" ca="1" si="22"/>
        <v>213893.8978220096</v>
      </c>
      <c r="V77" s="71">
        <f ca="1">IF(F77="","",-'Dados de entrada'!$B$2)</f>
        <v>-3000</v>
      </c>
      <c r="X77" s="93">
        <f>+Resumo!$E$12-Resumo!$E$20</f>
        <v>0</v>
      </c>
      <c r="Y77" s="116">
        <f t="shared" si="31"/>
        <v>48464</v>
      </c>
      <c r="Z77" s="81">
        <v>30</v>
      </c>
      <c r="AA77" s="81">
        <f t="shared" ca="1" si="32"/>
        <v>2218</v>
      </c>
      <c r="AB77" s="93">
        <f>IF(A77&lt;='Dados de entrada'!$B$18,'Dados de entrada'!$B$20,0)</f>
        <v>0</v>
      </c>
      <c r="AC77" s="93">
        <f>IF(OR(Resumo!$E$23&gt;0,Resumo!$E$28&gt;0,Resumo!$E$33&gt;0),IF(AND(A77&gt;'Dados de entrada'!$B$18,A77&lt;='Dados de entrada'!$B$10),'Dados de entrada'!$B$21,0),IF(AND(A77&gt;'Dados de entrada'!$B$18,A77&lt;='Dados de entrada'!$B$10),'Dados de entrada'!$B$21,IF(A77&lt;='Dados de entrada'!$B$18,X77,0)))</f>
        <v>3000</v>
      </c>
      <c r="AD77" s="93">
        <f ca="1">AC77/((1+'Dados de entrada'!$D$22)^($AA77/360))</f>
        <v>389.43081265275453</v>
      </c>
      <c r="AE77" s="93">
        <f>IF(A77&lt;='Dados de entrada'!$B$27,'Dados de entrada'!$B$29,0)</f>
        <v>0</v>
      </c>
      <c r="AF77" s="93">
        <f>IF(AND(A77&gt;'Dados de entrada'!$B$27,A77&lt;='Dados de entrada'!$B$10),'Dados de entrada'!$B$30,0)</f>
        <v>0</v>
      </c>
      <c r="AG77" s="93">
        <f ca="1">AF77/((1+'Dados de entrada'!$D$31)^($AA77/360))</f>
        <v>0</v>
      </c>
      <c r="AH77" s="93">
        <f>IF(A77&lt;='Dados de entrada'!$B$36,'Dados de entrada'!$B$38,0)</f>
        <v>0</v>
      </c>
      <c r="AI77" s="93">
        <f>IF(AND(A77&gt;'Dados de entrada'!$B$36,A77&lt;='Dados de entrada'!$B$10),'Dados de entrada'!$B$39,0)</f>
        <v>0</v>
      </c>
      <c r="AJ77" s="93">
        <f ca="1">AI77/((1+'Dados de entrada'!$D$40)^($AA77/360))</f>
        <v>0</v>
      </c>
      <c r="AK77" s="93">
        <f>IF(A77&lt;='Dados de entrada'!$B$45,'Dados de entrada'!$B$47,0)</f>
        <v>0</v>
      </c>
      <c r="AL77" s="93">
        <f>IF(AND(A77&gt;'Dados de entrada'!$B$45,A77&lt;='Dados de entrada'!$B$10),'Dados de entrada'!$B$48,0)</f>
        <v>0</v>
      </c>
      <c r="AM77" s="93">
        <f ca="1">AL77/((1+'Dados de entrada'!$D$49)^($AA77/360))</f>
        <v>0</v>
      </c>
      <c r="AN77" s="85">
        <f t="shared" si="30"/>
        <v>3000</v>
      </c>
    </row>
    <row r="78" spans="1:40">
      <c r="A78" s="69">
        <f>IF(A77="","",IF(A77+1&lt;='Dados de entrada'!$B$10,A77+1,""))</f>
        <v>75</v>
      </c>
      <c r="B78" s="70">
        <f t="shared" si="23"/>
        <v>48494</v>
      </c>
      <c r="C78" s="69">
        <f t="shared" si="24"/>
        <v>30</v>
      </c>
      <c r="D78" s="71">
        <f ca="1">IF(A78="","",F77*(1+'Dados de entrada'!$B$6)^(C78/30))</f>
        <v>17063.241610305817</v>
      </c>
      <c r="E78" s="71">
        <f ca="1">IF(A78="","",-'Dados de entrada'!$J$20)</f>
        <v>-615.26347669246445</v>
      </c>
      <c r="F78" s="71">
        <f t="shared" ca="1" si="25"/>
        <v>16447.978133613353</v>
      </c>
      <c r="G78" s="71">
        <f t="shared" ca="1" si="26"/>
        <v>195.80571565903301</v>
      </c>
      <c r="H78" s="69">
        <f t="shared" ca="1" si="27"/>
        <v>2282</v>
      </c>
      <c r="I78" s="71">
        <f ca="1">IF(A78="","",MIN(H78,365)*G78*'Dados de entrada'!$B$11+G78*'Dados de entrada'!$B$12)</f>
        <v>6.6045267891791841</v>
      </c>
      <c r="J78" s="71">
        <f t="shared" ca="1" si="28"/>
        <v>-3000</v>
      </c>
      <c r="K78" s="71">
        <f t="shared" ca="1" si="29"/>
        <v>-3000</v>
      </c>
      <c r="L78" s="72">
        <f ca="1">IF(A78="","",IF(A78&lt;='Dados de entrada'!$J$2,-V77,-V77*(1-'Dados de entrada'!$J$3)))</f>
        <v>3000</v>
      </c>
      <c r="M78" s="72">
        <f ca="1">IF(A78="","",L78*'Dados de entrada'!$E$4)</f>
        <v>60.599999999999994</v>
      </c>
      <c r="N78" s="72">
        <f ca="1">IF(A78="","",IF(A78&lt;='Dados de entrada'!$E$2,'Dados de entrada'!$E$13*'Dados de entrada'!$E$10/'Dados de entrada'!$B$10,'Dados de entrada'!$E$13*'Dados de entrada'!$E$10/'Dados de entrada'!$B$10*(1-'Dados de entrada'!$E$3)))</f>
        <v>0</v>
      </c>
      <c r="O78" s="71">
        <f ca="1">IF(A78="","",IF(AND(A78='Dados de entrada'!$E$2),(O77*(1+'Dados de entrada'!$B$6)-L78)*(1-'Dados de entrada'!$E$3),IF(AND(A78&lt;&gt;'Dados de entrada'!$A$2),O77*(1+'Dados de entrada'!$B$6)^(C78/30)-L78,"")))</f>
        <v>80199.680738572206</v>
      </c>
      <c r="P78" s="71">
        <f ca="1">IF(A78="","",(O77*((1+'Dados de entrada'!$B$6)^(-DAYS360(B78,B77)/30)-1)-O77*((1+'Dados de entrada'!$H$10)^(-DAYS360(B78,B77)/360)-1))*4.65%)</f>
        <v>73.856293833525626</v>
      </c>
      <c r="Q78" s="75">
        <f ca="1">IF(E78&lt;&gt;"",'Dados de entrada'!$H$5-E78*'Dados de entrada'!$H$6,"")</f>
        <v>0</v>
      </c>
      <c r="R78" s="71">
        <f ca="1">IF(A78="","",IF(A78='Dados de entrada'!$E$2,PV('Dados de entrada'!$B$6,'Dados de entrada'!$B$10-'Dados de entrada'!$E$2+1,+L78*(-'Dados de entrada'!$E$3),,1)+L78*(1-'Dados de entrada'!$E$3)-M78-N78-P78-Q78,L78-M78-N78-P78-Q78))</f>
        <v>2865.5437061664743</v>
      </c>
      <c r="S78" s="74">
        <f t="shared" ca="1" si="21"/>
        <v>2282</v>
      </c>
      <c r="T78" s="67">
        <f ca="1">IF(E78&lt;&gt;"",(-E78)/((1+'Dados de entrada'!$B$6)^(S78/30)),"")</f>
        <v>92.644690610514346</v>
      </c>
      <c r="U78" s="67">
        <f t="shared" ca="1" si="22"/>
        <v>211415.18397319375</v>
      </c>
      <c r="V78" s="71">
        <f ca="1">IF(F78="","",-'Dados de entrada'!$B$2)</f>
        <v>-3000</v>
      </c>
      <c r="X78" s="93">
        <f>+Resumo!$E$12-Resumo!$E$20</f>
        <v>0</v>
      </c>
      <c r="Y78" s="116">
        <f t="shared" si="31"/>
        <v>48494</v>
      </c>
      <c r="Z78" s="81">
        <v>30</v>
      </c>
      <c r="AA78" s="81">
        <f t="shared" ca="1" si="32"/>
        <v>2248</v>
      </c>
      <c r="AB78" s="93">
        <f>IF(A78&lt;='Dados de entrada'!$B$18,'Dados de entrada'!$B$20,0)</f>
        <v>0</v>
      </c>
      <c r="AC78" s="93">
        <f>IF(OR(Resumo!$E$23&gt;0,Resumo!$E$28&gt;0,Resumo!$E$33&gt;0),IF(AND(A78&gt;'Dados de entrada'!$B$18,A78&lt;='Dados de entrada'!$B$10),'Dados de entrada'!$B$21,0),IF(AND(A78&gt;'Dados de entrada'!$B$18,A78&lt;='Dados de entrada'!$B$10),'Dados de entrada'!$B$21,IF(A78&lt;='Dados de entrada'!$B$18,X78,0)))</f>
        <v>3000</v>
      </c>
      <c r="AD78" s="93">
        <f ca="1">AC78/((1+'Dados de entrada'!$D$22)^($AA78/360))</f>
        <v>378.82374771668736</v>
      </c>
      <c r="AE78" s="93">
        <f>IF(A78&lt;='Dados de entrada'!$B$27,'Dados de entrada'!$B$29,0)</f>
        <v>0</v>
      </c>
      <c r="AF78" s="93">
        <f>IF(AND(A78&gt;'Dados de entrada'!$B$27,A78&lt;='Dados de entrada'!$B$10),'Dados de entrada'!$B$30,0)</f>
        <v>0</v>
      </c>
      <c r="AG78" s="93">
        <f ca="1">AF78/((1+'Dados de entrada'!$D$31)^($AA78/360))</f>
        <v>0</v>
      </c>
      <c r="AH78" s="93">
        <f>IF(A78&lt;='Dados de entrada'!$B$36,'Dados de entrada'!$B$38,0)</f>
        <v>0</v>
      </c>
      <c r="AI78" s="93">
        <f>IF(AND(A78&gt;'Dados de entrada'!$B$36,A78&lt;='Dados de entrada'!$B$10),'Dados de entrada'!$B$39,0)</f>
        <v>0</v>
      </c>
      <c r="AJ78" s="93">
        <f ca="1">AI78/((1+'Dados de entrada'!$D$40)^($AA78/360))</f>
        <v>0</v>
      </c>
      <c r="AK78" s="93">
        <f>IF(A78&lt;='Dados de entrada'!$B$45,'Dados de entrada'!$B$47,0)</f>
        <v>0</v>
      </c>
      <c r="AL78" s="93">
        <f>IF(AND(A78&gt;'Dados de entrada'!$B$45,A78&lt;='Dados de entrada'!$B$10),'Dados de entrada'!$B$48,0)</f>
        <v>0</v>
      </c>
      <c r="AM78" s="93">
        <f ca="1">AL78/((1+'Dados de entrada'!$D$49)^($AA78/360))</f>
        <v>0</v>
      </c>
      <c r="AN78" s="85">
        <f t="shared" si="30"/>
        <v>3000</v>
      </c>
    </row>
    <row r="79" spans="1:40">
      <c r="A79" s="69">
        <f>IF(A78="","",IF(A78+1&lt;='Dados de entrada'!$B$10,A78+1,""))</f>
        <v>76</v>
      </c>
      <c r="B79" s="70">
        <f t="shared" si="23"/>
        <v>48525</v>
      </c>
      <c r="C79" s="69">
        <f t="shared" si="24"/>
        <v>30</v>
      </c>
      <c r="D79" s="71">
        <f ca="1">IF(A79="","",F78*(1+'Dados de entrada'!$B$6)^(C79/30))</f>
        <v>16862.501185819048</v>
      </c>
      <c r="E79" s="71">
        <f ca="1">IF(A79="","",-'Dados de entrada'!$J$20)</f>
        <v>-615.26347669246445</v>
      </c>
      <c r="F79" s="71">
        <f t="shared" ca="1" si="25"/>
        <v>16247.237709126584</v>
      </c>
      <c r="G79" s="71">
        <f t="shared" ca="1" si="26"/>
        <v>200.74042448676846</v>
      </c>
      <c r="H79" s="69">
        <f t="shared" ca="1" si="27"/>
        <v>2313</v>
      </c>
      <c r="I79" s="71">
        <f ca="1">IF(A79="","",MIN(H79,365)*G79*'Dados de entrada'!$B$11+G79*'Dados de entrada'!$B$12)</f>
        <v>6.7709745179386998</v>
      </c>
      <c r="J79" s="71">
        <f t="shared" ca="1" si="28"/>
        <v>-3000</v>
      </c>
      <c r="K79" s="71">
        <f t="shared" ca="1" si="29"/>
        <v>-3000</v>
      </c>
      <c r="L79" s="72">
        <f ca="1">IF(A79="","",IF(A79&lt;='Dados de entrada'!$J$2,-V78,-V78*(1-'Dados de entrada'!$J$3)))</f>
        <v>3000</v>
      </c>
      <c r="M79" s="72">
        <f ca="1">IF(A79="","",L79*'Dados de entrada'!$E$4)</f>
        <v>60.599999999999994</v>
      </c>
      <c r="N79" s="72">
        <f ca="1">IF(A79="","",IF(A79&lt;='Dados de entrada'!$E$2,'Dados de entrada'!$E$13*'Dados de entrada'!$E$10/'Dados de entrada'!$B$10,'Dados de entrada'!$E$13*'Dados de entrada'!$E$10/'Dados de entrada'!$B$10*(1-'Dados de entrada'!$E$3)))</f>
        <v>0</v>
      </c>
      <c r="O79" s="71">
        <f ca="1">IF(A79="","",IF(AND(A79='Dados de entrada'!$E$2),(O78*(1+'Dados de entrada'!$B$6)-L79)*(1-'Dados de entrada'!$E$3),IF(AND(A79&lt;&gt;'Dados de entrada'!$A$2),O78*(1+'Dados de entrada'!$B$6)^(C79/30)-L79,"")))</f>
        <v>79220.87849161007</v>
      </c>
      <c r="P79" s="71">
        <f ca="1">IF(A79="","",(O78*((1+'Dados de entrada'!$B$6)^(-DAYS360(B79,B78)/30)-1)-O78*((1+'Dados de entrada'!$H$10)^(-DAYS360(B79,B78)/360)-1))*4.65%)</f>
        <v>72.987411817214777</v>
      </c>
      <c r="Q79" s="75">
        <f ca="1">IF(E79&lt;&gt;"",'Dados de entrada'!$H$5-E79*'Dados de entrada'!$H$6,"")</f>
        <v>0</v>
      </c>
      <c r="R79" s="71">
        <f ca="1">IF(A79="","",IF(A79='Dados de entrada'!$E$2,PV('Dados de entrada'!$B$6,'Dados de entrada'!$B$10-'Dados de entrada'!$E$2+1,+L79*(-'Dados de entrada'!$E$3),,1)+L79*(1-'Dados de entrada'!$E$3)-M79-N79-P79-Q79,L79-M79-N79-P79-Q79))</f>
        <v>2866.4125881827854</v>
      </c>
      <c r="S79" s="74">
        <f t="shared" ca="1" si="21"/>
        <v>2313</v>
      </c>
      <c r="T79" s="67">
        <f ca="1">IF(E79&lt;&gt;"",(-E79)/((1+'Dados de entrada'!$B$6)^(S79/30)),"")</f>
        <v>90.292306320410589</v>
      </c>
      <c r="U79" s="67">
        <f t="shared" ca="1" si="22"/>
        <v>208846.10451910968</v>
      </c>
      <c r="V79" s="71">
        <f ca="1">IF(F79="","",-'Dados de entrada'!$B$2)</f>
        <v>-3000</v>
      </c>
      <c r="X79" s="93">
        <f>+Resumo!$E$12-Resumo!$E$20</f>
        <v>0</v>
      </c>
      <c r="Y79" s="116">
        <f t="shared" si="31"/>
        <v>48525</v>
      </c>
      <c r="Z79" s="81">
        <v>30</v>
      </c>
      <c r="AA79" s="81">
        <f t="shared" ca="1" si="32"/>
        <v>2278</v>
      </c>
      <c r="AB79" s="93">
        <f>IF(A79&lt;='Dados de entrada'!$B$18,'Dados de entrada'!$B$20,0)</f>
        <v>0</v>
      </c>
      <c r="AC79" s="93">
        <f>IF(OR(Resumo!$E$23&gt;0,Resumo!$E$28&gt;0,Resumo!$E$33&gt;0),IF(AND(A79&gt;'Dados de entrada'!$B$18,A79&lt;='Dados de entrada'!$B$10),'Dados de entrada'!$B$21,0),IF(AND(A79&gt;'Dados de entrada'!$B$18,A79&lt;='Dados de entrada'!$B$10),'Dados de entrada'!$B$21,IF(A79&lt;='Dados de entrada'!$B$18,X79,0)))</f>
        <v>3000</v>
      </c>
      <c r="AD79" s="93">
        <f ca="1">AC79/((1+'Dados de entrada'!$D$22)^($AA79/360))</f>
        <v>368.50559116409266</v>
      </c>
      <c r="AE79" s="93">
        <f>IF(A79&lt;='Dados de entrada'!$B$27,'Dados de entrada'!$B$29,0)</f>
        <v>0</v>
      </c>
      <c r="AF79" s="93">
        <f>IF(AND(A79&gt;'Dados de entrada'!$B$27,A79&lt;='Dados de entrada'!$B$10),'Dados de entrada'!$B$30,0)</f>
        <v>0</v>
      </c>
      <c r="AG79" s="93">
        <f ca="1">AF79/((1+'Dados de entrada'!$D$31)^($AA79/360))</f>
        <v>0</v>
      </c>
      <c r="AH79" s="93">
        <f>IF(A79&lt;='Dados de entrada'!$B$36,'Dados de entrada'!$B$38,0)</f>
        <v>0</v>
      </c>
      <c r="AI79" s="93">
        <f>IF(AND(A79&gt;'Dados de entrada'!$B$36,A79&lt;='Dados de entrada'!$B$10),'Dados de entrada'!$B$39,0)</f>
        <v>0</v>
      </c>
      <c r="AJ79" s="93">
        <f ca="1">AI79/((1+'Dados de entrada'!$D$40)^($AA79/360))</f>
        <v>0</v>
      </c>
      <c r="AK79" s="93">
        <f>IF(A79&lt;='Dados de entrada'!$B$45,'Dados de entrada'!$B$47,0)</f>
        <v>0</v>
      </c>
      <c r="AL79" s="93">
        <f>IF(AND(A79&gt;'Dados de entrada'!$B$45,A79&lt;='Dados de entrada'!$B$10),'Dados de entrada'!$B$48,0)</f>
        <v>0</v>
      </c>
      <c r="AM79" s="93">
        <f ca="1">AL79/((1+'Dados de entrada'!$D$49)^($AA79/360))</f>
        <v>0</v>
      </c>
      <c r="AN79" s="85">
        <f t="shared" si="30"/>
        <v>3000</v>
      </c>
    </row>
    <row r="80" spans="1:40">
      <c r="A80" s="69">
        <f>IF(A79="","",IF(A79+1&lt;='Dados de entrada'!$B$10,A79+1,""))</f>
        <v>77</v>
      </c>
      <c r="B80" s="70">
        <f t="shared" si="23"/>
        <v>48555</v>
      </c>
      <c r="C80" s="69">
        <f t="shared" si="24"/>
        <v>30</v>
      </c>
      <c r="D80" s="71">
        <f ca="1">IF(A80="","",F79*(1+'Dados de entrada'!$B$6)^(C80/30))</f>
        <v>16656.701687640463</v>
      </c>
      <c r="E80" s="71">
        <f ca="1">IF(A80="","",-'Dados de entrada'!$J$20)</f>
        <v>-615.26347669246445</v>
      </c>
      <c r="F80" s="71">
        <f t="shared" ca="1" si="25"/>
        <v>16041.438210947999</v>
      </c>
      <c r="G80" s="71">
        <f t="shared" ca="1" si="26"/>
        <v>205.79949817858505</v>
      </c>
      <c r="H80" s="69">
        <f t="shared" ca="1" si="27"/>
        <v>2343</v>
      </c>
      <c r="I80" s="71">
        <f ca="1">IF(A80="","",MIN(H80,365)*G80*'Dados de entrada'!$B$11+G80*'Dados de entrada'!$B$12)</f>
        <v>6.9416170735636742</v>
      </c>
      <c r="J80" s="71">
        <f t="shared" ca="1" si="28"/>
        <v>-3000</v>
      </c>
      <c r="K80" s="71">
        <f t="shared" ca="1" si="29"/>
        <v>-3000</v>
      </c>
      <c r="L80" s="72">
        <f ca="1">IF(A80="","",IF(A80&lt;='Dados de entrada'!$J$2,-V79,-V79*(1-'Dados de entrada'!$J$3)))</f>
        <v>3000</v>
      </c>
      <c r="M80" s="72">
        <f ca="1">IF(A80="","",L80*'Dados de entrada'!$E$4)</f>
        <v>60.599999999999994</v>
      </c>
      <c r="N80" s="72">
        <f ca="1">IF(A80="","",IF(A80&lt;='Dados de entrada'!$E$2,'Dados de entrada'!$E$13*'Dados de entrada'!$E$10/'Dados de entrada'!$B$10,'Dados de entrada'!$E$13*'Dados de entrada'!$E$10/'Dados de entrada'!$B$10*(1-'Dados de entrada'!$E$3)))</f>
        <v>0</v>
      </c>
      <c r="O80" s="71">
        <f ca="1">IF(A80="","",IF(AND(A80='Dados de entrada'!$E$2),(O79*(1+'Dados de entrada'!$B$6)-L80)*(1-'Dados de entrada'!$E$3),IF(AND(A80&lt;&gt;'Dados de entrada'!$A$2),O79*(1+'Dados de entrada'!$B$6)^(C80/30)-L80,"")))</f>
        <v>78217.408404526766</v>
      </c>
      <c r="P80" s="71">
        <f ca="1">IF(A80="","",(O79*((1+'Dados de entrada'!$B$6)^(-DAYS360(B80,B79)/30)-1)-O79*((1+'Dados de entrada'!$H$10)^(-DAYS360(B80,B79)/360)-1))*4.65%)</f>
        <v>72.096632177835474</v>
      </c>
      <c r="Q80" s="75">
        <f ca="1">IF(E80&lt;&gt;"",'Dados de entrada'!$H$5-E80*'Dados de entrada'!$H$6,"")</f>
        <v>0</v>
      </c>
      <c r="R80" s="71">
        <f ca="1">IF(A80="","",IF(A80='Dados de entrada'!$E$2,PV('Dados de entrada'!$B$6,'Dados de entrada'!$B$10-'Dados de entrada'!$E$2+1,+L80*(-'Dados de entrada'!$E$3),,1)+L80*(1-'Dados de entrada'!$E$3)-M80-N80-P80-Q80,L80-M80-N80-P80-Q80))</f>
        <v>2867.3033678221645</v>
      </c>
      <c r="S80" s="74">
        <f t="shared" ca="1" si="21"/>
        <v>2343</v>
      </c>
      <c r="T80" s="67">
        <f ca="1">IF(E80&lt;&gt;"",(-E80)/((1+'Dados de entrada'!$B$6)^(S80/30)),"")</f>
        <v>88.072692397530375</v>
      </c>
      <c r="U80" s="67">
        <f t="shared" ca="1" si="22"/>
        <v>206354.31828741365</v>
      </c>
      <c r="V80" s="71">
        <f ca="1">IF(F80="","",-'Dados de entrada'!$B$2)</f>
        <v>-3000</v>
      </c>
      <c r="X80" s="93">
        <f>+Resumo!$E$12-Resumo!$E$20</f>
        <v>0</v>
      </c>
      <c r="Y80" s="116">
        <f t="shared" si="31"/>
        <v>48555</v>
      </c>
      <c r="Z80" s="81">
        <v>30</v>
      </c>
      <c r="AA80" s="81">
        <f t="shared" ca="1" si="32"/>
        <v>2308</v>
      </c>
      <c r="AB80" s="93">
        <f>IF(A80&lt;='Dados de entrada'!$B$18,'Dados de entrada'!$B$20,0)</f>
        <v>0</v>
      </c>
      <c r="AC80" s="93">
        <f>IF(OR(Resumo!$E$23&gt;0,Resumo!$E$28&gt;0,Resumo!$E$33&gt;0),IF(AND(A80&gt;'Dados de entrada'!$B$18,A80&lt;='Dados de entrada'!$B$10),'Dados de entrada'!$B$21,0),IF(AND(A80&gt;'Dados de entrada'!$B$18,A80&lt;='Dados de entrada'!$B$10),'Dados de entrada'!$B$21,IF(A80&lt;='Dados de entrada'!$B$18,X80,0)))</f>
        <v>3000</v>
      </c>
      <c r="AD80" s="93">
        <f ca="1">AC80/((1+'Dados de entrada'!$D$22)^($AA80/360))</f>
        <v>358.46847389503182</v>
      </c>
      <c r="AE80" s="93">
        <f>IF(A80&lt;='Dados de entrada'!$B$27,'Dados de entrada'!$B$29,0)</f>
        <v>0</v>
      </c>
      <c r="AF80" s="93">
        <f>IF(AND(A80&gt;'Dados de entrada'!$B$27,A80&lt;='Dados de entrada'!$B$10),'Dados de entrada'!$B$30,0)</f>
        <v>0</v>
      </c>
      <c r="AG80" s="93">
        <f ca="1">AF80/((1+'Dados de entrada'!$D$31)^($AA80/360))</f>
        <v>0</v>
      </c>
      <c r="AH80" s="93">
        <f>IF(A80&lt;='Dados de entrada'!$B$36,'Dados de entrada'!$B$38,0)</f>
        <v>0</v>
      </c>
      <c r="AI80" s="93">
        <f>IF(AND(A80&gt;'Dados de entrada'!$B$36,A80&lt;='Dados de entrada'!$B$10),'Dados de entrada'!$B$39,0)</f>
        <v>0</v>
      </c>
      <c r="AJ80" s="93">
        <f ca="1">AI80/((1+'Dados de entrada'!$D$40)^($AA80/360))</f>
        <v>0</v>
      </c>
      <c r="AK80" s="93">
        <f>IF(A80&lt;='Dados de entrada'!$B$45,'Dados de entrada'!$B$47,0)</f>
        <v>0</v>
      </c>
      <c r="AL80" s="93">
        <f>IF(AND(A80&gt;'Dados de entrada'!$B$45,A80&lt;='Dados de entrada'!$B$10),'Dados de entrada'!$B$48,0)</f>
        <v>0</v>
      </c>
      <c r="AM80" s="93">
        <f ca="1">AL80/((1+'Dados de entrada'!$D$49)^($AA80/360))</f>
        <v>0</v>
      </c>
      <c r="AN80" s="85">
        <f t="shared" si="30"/>
        <v>3000</v>
      </c>
    </row>
    <row r="81" spans="1:40">
      <c r="A81" s="69">
        <f>IF(A80="","",IF(A80+1&lt;='Dados de entrada'!$B$10,A80+1,""))</f>
        <v>78</v>
      </c>
      <c r="B81" s="70">
        <f t="shared" si="23"/>
        <v>48586</v>
      </c>
      <c r="C81" s="69">
        <f t="shared" si="24"/>
        <v>30</v>
      </c>
      <c r="D81" s="71">
        <f ca="1">IF(A81="","",F80*(1+'Dados de entrada'!$B$6)^(C81/30))</f>
        <v>16445.715616654306</v>
      </c>
      <c r="E81" s="71">
        <f ca="1">IF(A81="","",-'Dados de entrada'!$J$20)</f>
        <v>-615.26347669246445</v>
      </c>
      <c r="F81" s="71">
        <f t="shared" ca="1" si="25"/>
        <v>15830.452139961842</v>
      </c>
      <c r="G81" s="71">
        <f t="shared" ca="1" si="26"/>
        <v>210.98607098615685</v>
      </c>
      <c r="H81" s="69">
        <f t="shared" ca="1" si="27"/>
        <v>2374</v>
      </c>
      <c r="I81" s="71">
        <f ca="1">IF(A81="","",MIN(H81,365)*G81*'Dados de entrada'!$B$11+G81*'Dados de entrada'!$B$12)</f>
        <v>7.1165601743630704</v>
      </c>
      <c r="J81" s="71">
        <f t="shared" ca="1" si="28"/>
        <v>-3000</v>
      </c>
      <c r="K81" s="71">
        <f t="shared" ca="1" si="29"/>
        <v>-3000</v>
      </c>
      <c r="L81" s="72">
        <f ca="1">IF(A81="","",IF(A81&lt;='Dados de entrada'!$J$2,-V80,-V80*(1-'Dados de entrada'!$J$3)))</f>
        <v>3000</v>
      </c>
      <c r="M81" s="72">
        <f ca="1">IF(A81="","",L81*'Dados de entrada'!$E$4)</f>
        <v>60.599999999999994</v>
      </c>
      <c r="N81" s="72">
        <f ca="1">IF(A81="","",IF(A81&lt;='Dados de entrada'!$E$2,'Dados de entrada'!$E$13*'Dados de entrada'!$E$10/'Dados de entrada'!$B$10,'Dados de entrada'!$E$13*'Dados de entrada'!$E$10/'Dados de entrada'!$B$10*(1-'Dados de entrada'!$E$3)))</f>
        <v>0</v>
      </c>
      <c r="O81" s="71">
        <f ca="1">IF(A81="","",IF(AND(A81='Dados de entrada'!$E$2),(O80*(1+'Dados de entrada'!$B$6)-L81)*(1-'Dados de entrada'!$E$3),IF(AND(A81&lt;&gt;'Dados de entrada'!$A$2),O80*(1+'Dados de entrada'!$B$6)^(C81/30)-L81,"")))</f>
        <v>77188.648796754904</v>
      </c>
      <c r="P81" s="71">
        <f ca="1">IF(A81="","",(O80*((1+'Dados de entrada'!$B$6)^(-DAYS360(B81,B80)/30)-1)-O80*((1+'Dados de entrada'!$H$10)^(-DAYS360(B81,B80)/360)-1))*4.65%)</f>
        <v>71.18340305001702</v>
      </c>
      <c r="Q81" s="75">
        <f ca="1">IF(E81&lt;&gt;"",'Dados de entrada'!$H$5-E81*'Dados de entrada'!$H$6,"")</f>
        <v>0</v>
      </c>
      <c r="R81" s="71">
        <f ca="1">IF(A81="","",IF(A81='Dados de entrada'!$E$2,PV('Dados de entrada'!$B$6,'Dados de entrada'!$B$10-'Dados de entrada'!$E$2+1,+L81*(-'Dados de entrada'!$E$3),,1)+L81*(1-'Dados de entrada'!$E$3)-M81-N81-P81-Q81,L81-M81-N81-P81-Q81))</f>
        <v>2868.2165969499829</v>
      </c>
      <c r="S81" s="74">
        <f t="shared" ca="1" si="21"/>
        <v>2374</v>
      </c>
      <c r="T81" s="67">
        <f ca="1">IF(E81&lt;&gt;"",(-E81)/((1+'Dados de entrada'!$B$6)^(S81/30)),"")</f>
        <v>85.83639783366705</v>
      </c>
      <c r="U81" s="67">
        <f t="shared" ca="1" si="22"/>
        <v>203775.60845712558</v>
      </c>
      <c r="V81" s="71">
        <f ca="1">IF(F81="","",-'Dados de entrada'!$B$2)</f>
        <v>-3000</v>
      </c>
      <c r="X81" s="93">
        <f>+Resumo!$E$12-Resumo!$E$20</f>
        <v>0</v>
      </c>
      <c r="Y81" s="116">
        <f t="shared" si="31"/>
        <v>48586</v>
      </c>
      <c r="Z81" s="81">
        <v>30</v>
      </c>
      <c r="AA81" s="81">
        <f t="shared" ca="1" si="32"/>
        <v>2338</v>
      </c>
      <c r="AB81" s="93">
        <f>IF(A81&lt;='Dados de entrada'!$B$18,'Dados de entrada'!$B$20,0)</f>
        <v>0</v>
      </c>
      <c r="AC81" s="93">
        <f>IF(OR(Resumo!$E$23&gt;0,Resumo!$E$28&gt;0,Resumo!$E$33&gt;0),IF(AND(A81&gt;'Dados de entrada'!$B$18,A81&lt;='Dados de entrada'!$B$10),'Dados de entrada'!$B$21,0),IF(AND(A81&gt;'Dados de entrada'!$B$18,A81&lt;='Dados de entrada'!$B$10),'Dados de entrada'!$B$21,IF(A81&lt;='Dados de entrada'!$B$18,X81,0)))</f>
        <v>3000</v>
      </c>
      <c r="AD81" s="93">
        <f ca="1">AC81/((1+'Dados de entrada'!$D$22)^($AA81/360))</f>
        <v>348.70474114302698</v>
      </c>
      <c r="AE81" s="93">
        <f>IF(A81&lt;='Dados de entrada'!$B$27,'Dados de entrada'!$B$29,0)</f>
        <v>0</v>
      </c>
      <c r="AF81" s="93">
        <f>IF(AND(A81&gt;'Dados de entrada'!$B$27,A81&lt;='Dados de entrada'!$B$10),'Dados de entrada'!$B$30,0)</f>
        <v>0</v>
      </c>
      <c r="AG81" s="93">
        <f ca="1">AF81/((1+'Dados de entrada'!$D$31)^($AA81/360))</f>
        <v>0</v>
      </c>
      <c r="AH81" s="93">
        <f>IF(A81&lt;='Dados de entrada'!$B$36,'Dados de entrada'!$B$38,0)</f>
        <v>0</v>
      </c>
      <c r="AI81" s="93">
        <f>IF(AND(A81&gt;'Dados de entrada'!$B$36,A81&lt;='Dados de entrada'!$B$10),'Dados de entrada'!$B$39,0)</f>
        <v>0</v>
      </c>
      <c r="AJ81" s="93">
        <f ca="1">AI81/((1+'Dados de entrada'!$D$40)^($AA81/360))</f>
        <v>0</v>
      </c>
      <c r="AK81" s="93">
        <f>IF(A81&lt;='Dados de entrada'!$B$45,'Dados de entrada'!$B$47,0)</f>
        <v>0</v>
      </c>
      <c r="AL81" s="93">
        <f>IF(AND(A81&gt;'Dados de entrada'!$B$45,A81&lt;='Dados de entrada'!$B$10),'Dados de entrada'!$B$48,0)</f>
        <v>0</v>
      </c>
      <c r="AM81" s="93">
        <f ca="1">AL81/((1+'Dados de entrada'!$D$49)^($AA81/360))</f>
        <v>0</v>
      </c>
      <c r="AN81" s="85">
        <f t="shared" si="30"/>
        <v>3000</v>
      </c>
    </row>
    <row r="82" spans="1:40">
      <c r="A82" s="69">
        <f>IF(A81="","",IF(A81+1&lt;='Dados de entrada'!$B$10,A81+1,""))</f>
        <v>79</v>
      </c>
      <c r="B82" s="70">
        <f t="shared" si="23"/>
        <v>48617</v>
      </c>
      <c r="C82" s="69">
        <f t="shared" si="24"/>
        <v>30</v>
      </c>
      <c r="D82" s="71">
        <f ca="1">IF(A82="","",F81*(1+'Dados de entrada'!$B$6)^(C82/30))</f>
        <v>16229.412260503515</v>
      </c>
      <c r="E82" s="71">
        <f ca="1">IF(A82="","",-'Dados de entrada'!$J$20)</f>
        <v>-615.26347669246445</v>
      </c>
      <c r="F82" s="71">
        <f t="shared" ca="1" si="25"/>
        <v>15614.148783811052</v>
      </c>
      <c r="G82" s="71">
        <f t="shared" ca="1" si="26"/>
        <v>216.30335615079093</v>
      </c>
      <c r="H82" s="69">
        <f t="shared" ca="1" si="27"/>
        <v>2405</v>
      </c>
      <c r="I82" s="71">
        <f ca="1">IF(A82="","",MIN(H82,365)*G82*'Dados de entrada'!$B$11+G82*'Dados de entrada'!$B$12)</f>
        <v>7.2959122029661776</v>
      </c>
      <c r="J82" s="71">
        <f t="shared" ca="1" si="28"/>
        <v>-3000</v>
      </c>
      <c r="K82" s="71">
        <f t="shared" ca="1" si="29"/>
        <v>-3000</v>
      </c>
      <c r="L82" s="72">
        <f ca="1">IF(A82="","",IF(A82&lt;='Dados de entrada'!$J$2,-V81,-V81*(1-'Dados de entrada'!$J$3)))</f>
        <v>3000</v>
      </c>
      <c r="M82" s="72">
        <f ca="1">IF(A82="","",L82*'Dados de entrada'!$E$4)</f>
        <v>60.599999999999994</v>
      </c>
      <c r="N82" s="72">
        <f ca="1">IF(A82="","",IF(A82&lt;='Dados de entrada'!$E$2,'Dados de entrada'!$E$13*'Dados de entrada'!$E$10/'Dados de entrada'!$B$10,'Dados de entrada'!$E$13*'Dados de entrada'!$E$10/'Dados de entrada'!$B$10*(1-'Dados de entrada'!$E$3)))</f>
        <v>0</v>
      </c>
      <c r="O82" s="71">
        <f ca="1">IF(A82="","",IF(AND(A82='Dados de entrada'!$E$2),(O81*(1+'Dados de entrada'!$B$6)-L82)*(1-'Dados de entrada'!$E$3),IF(AND(A82&lt;&gt;'Dados de entrada'!$A$2),O81*(1+'Dados de entrada'!$B$6)^(C82/30)-L82,"")))</f>
        <v>76133.962320091596</v>
      </c>
      <c r="P82" s="71">
        <f ca="1">IF(A82="","",(O81*((1+'Dados de entrada'!$B$6)^(-DAYS360(B82,B81)/30)-1)-O81*((1+'Dados de entrada'!$H$10)^(-DAYS360(B82,B81)/360)-1))*4.65%)</f>
        <v>70.24715866024043</v>
      </c>
      <c r="Q82" s="75">
        <f ca="1">IF(E82&lt;&gt;"",'Dados de entrada'!$H$5-E82*'Dados de entrada'!$H$6,"")</f>
        <v>0</v>
      </c>
      <c r="R82" s="71">
        <f ca="1">IF(A82="","",IF(A82='Dados de entrada'!$E$2,PV('Dados de entrada'!$B$6,'Dados de entrada'!$B$10-'Dados de entrada'!$E$2+1,+L82*(-'Dados de entrada'!$E$3),,1)+L82*(1-'Dados de entrada'!$E$3)-M82-N82-P82-Q82,L82-M82-N82-P82-Q82))</f>
        <v>2869.1528413397596</v>
      </c>
      <c r="S82" s="74">
        <f t="shared" ca="1" si="21"/>
        <v>2405</v>
      </c>
      <c r="T82" s="67">
        <f ca="1">IF(E82&lt;&gt;"",(-E82)/((1+'Dados de entrada'!$B$6)^(S82/30)),"")</f>
        <v>83.656886061838662</v>
      </c>
      <c r="U82" s="67">
        <f t="shared" ca="1" si="22"/>
        <v>201194.81097872197</v>
      </c>
      <c r="V82" s="71">
        <f ca="1">IF(F82="","",-'Dados de entrada'!$B$2)</f>
        <v>-3000</v>
      </c>
      <c r="X82" s="93">
        <f>+Resumo!$E$12-Resumo!$E$20</f>
        <v>0</v>
      </c>
      <c r="Y82" s="116">
        <f t="shared" si="31"/>
        <v>48617</v>
      </c>
      <c r="Z82" s="81">
        <v>30</v>
      </c>
      <c r="AA82" s="81">
        <f t="shared" ca="1" si="32"/>
        <v>2368</v>
      </c>
      <c r="AB82" s="93">
        <f>IF(A82&lt;='Dados de entrada'!$B$18,'Dados de entrada'!$B$20,0)</f>
        <v>0</v>
      </c>
      <c r="AC82" s="93">
        <f>IF(OR(Resumo!$E$23&gt;0,Resumo!$E$28&gt;0,Resumo!$E$33&gt;0),IF(AND(A82&gt;'Dados de entrada'!$B$18,A82&lt;='Dados de entrada'!$B$10),'Dados de entrada'!$B$21,0),IF(AND(A82&gt;'Dados de entrada'!$B$18,A82&lt;='Dados de entrada'!$B$10),'Dados de entrada'!$B$21,IF(A82&lt;='Dados de entrada'!$B$18,X82,0)))</f>
        <v>3000</v>
      </c>
      <c r="AD82" s="93">
        <f ca="1">AC82/((1+'Dados de entrada'!$D$22)^($AA82/360))</f>
        <v>339.20694663718587</v>
      </c>
      <c r="AE82" s="93">
        <f>IF(A82&lt;='Dados de entrada'!$B$27,'Dados de entrada'!$B$29,0)</f>
        <v>0</v>
      </c>
      <c r="AF82" s="93">
        <f>IF(AND(A82&gt;'Dados de entrada'!$B$27,A82&lt;='Dados de entrada'!$B$10),'Dados de entrada'!$B$30,0)</f>
        <v>0</v>
      </c>
      <c r="AG82" s="93">
        <f ca="1">AF82/((1+'Dados de entrada'!$D$31)^($AA82/360))</f>
        <v>0</v>
      </c>
      <c r="AH82" s="93">
        <f>IF(A82&lt;='Dados de entrada'!$B$36,'Dados de entrada'!$B$38,0)</f>
        <v>0</v>
      </c>
      <c r="AI82" s="93">
        <f>IF(AND(A82&gt;'Dados de entrada'!$B$36,A82&lt;='Dados de entrada'!$B$10),'Dados de entrada'!$B$39,0)</f>
        <v>0</v>
      </c>
      <c r="AJ82" s="93">
        <f ca="1">AI82/((1+'Dados de entrada'!$D$40)^($AA82/360))</f>
        <v>0</v>
      </c>
      <c r="AK82" s="93">
        <f>IF(A82&lt;='Dados de entrada'!$B$45,'Dados de entrada'!$B$47,0)</f>
        <v>0</v>
      </c>
      <c r="AL82" s="93">
        <f>IF(AND(A82&gt;'Dados de entrada'!$B$45,A82&lt;='Dados de entrada'!$B$10),'Dados de entrada'!$B$48,0)</f>
        <v>0</v>
      </c>
      <c r="AM82" s="93">
        <f ca="1">AL82/((1+'Dados de entrada'!$D$49)^($AA82/360))</f>
        <v>0</v>
      </c>
      <c r="AN82" s="85">
        <f t="shared" si="30"/>
        <v>3000</v>
      </c>
    </row>
    <row r="83" spans="1:40">
      <c r="A83" s="69">
        <f>IF(A82="","",IF(A82+1&lt;='Dados de entrada'!$B$10,A82+1,""))</f>
        <v>80</v>
      </c>
      <c r="B83" s="70">
        <f t="shared" si="23"/>
        <v>48645</v>
      </c>
      <c r="C83" s="69">
        <f t="shared" si="24"/>
        <v>30</v>
      </c>
      <c r="D83" s="71">
        <f ca="1">IF(A83="","",F82*(1+'Dados de entrada'!$B$6)^(C83/30))</f>
        <v>16007.657612609411</v>
      </c>
      <c r="E83" s="71">
        <f ca="1">IF(A83="","",-'Dados de entrada'!$J$20)</f>
        <v>-615.26347669246445</v>
      </c>
      <c r="F83" s="71">
        <f t="shared" ca="1" si="25"/>
        <v>15392.394135916948</v>
      </c>
      <c r="G83" s="71">
        <f t="shared" ca="1" si="26"/>
        <v>221.75464789410398</v>
      </c>
      <c r="H83" s="69">
        <f t="shared" ca="1" si="27"/>
        <v>2433</v>
      </c>
      <c r="I83" s="71">
        <f ca="1">IF(A83="","",MIN(H83,365)*G83*'Dados de entrada'!$B$11+G83*'Dados de entrada'!$B$12)</f>
        <v>7.4797842734681277</v>
      </c>
      <c r="J83" s="71">
        <f t="shared" ca="1" si="28"/>
        <v>-3000</v>
      </c>
      <c r="K83" s="71">
        <f t="shared" ca="1" si="29"/>
        <v>-3000</v>
      </c>
      <c r="L83" s="72">
        <f ca="1">IF(A83="","",IF(A83&lt;='Dados de entrada'!$J$2,-V82,-V82*(1-'Dados de entrada'!$J$3)))</f>
        <v>3000</v>
      </c>
      <c r="M83" s="72">
        <f ca="1">IF(A83="","",L83*'Dados de entrada'!$E$4)</f>
        <v>60.599999999999994</v>
      </c>
      <c r="N83" s="72">
        <f ca="1">IF(A83="","",IF(A83&lt;='Dados de entrada'!$E$2,'Dados de entrada'!$E$13*'Dados de entrada'!$E$10/'Dados de entrada'!$B$10,'Dados de entrada'!$E$13*'Dados de entrada'!$E$10/'Dados de entrada'!$B$10*(1-'Dados de entrada'!$E$3)))</f>
        <v>0</v>
      </c>
      <c r="O83" s="71">
        <f ca="1">IF(A83="","",IF(AND(A83='Dados de entrada'!$E$2),(O82*(1+'Dados de entrada'!$B$6)-L83)*(1-'Dados de entrada'!$E$3),IF(AND(A83&lt;&gt;'Dados de entrada'!$A$2),O82*(1+'Dados de entrada'!$B$6)^(C83/30)-L83,"")))</f>
        <v>75052.69556384164</v>
      </c>
      <c r="P83" s="71">
        <f ca="1">IF(A83="","",(O82*((1+'Dados de entrada'!$B$6)^(-DAYS360(B83,B82)/30)-1)-O82*((1+'Dados de entrada'!$H$10)^(-DAYS360(B83,B82)/360)-1))*4.65%)</f>
        <v>69.287318976324457</v>
      </c>
      <c r="Q83" s="75">
        <f ca="1">IF(E83&lt;&gt;"",'Dados de entrada'!$H$5-E83*'Dados de entrada'!$H$6,"")</f>
        <v>0</v>
      </c>
      <c r="R83" s="71">
        <f ca="1">IF(A83="","",IF(A83='Dados de entrada'!$E$2,PV('Dados de entrada'!$B$6,'Dados de entrada'!$B$10-'Dados de entrada'!$E$2+1,+L83*(-'Dados de entrada'!$E$3),,1)+L83*(1-'Dados de entrada'!$E$3)-M83-N83-P83-Q83,L83-M83-N83-P83-Q83))</f>
        <v>2870.1126810236756</v>
      </c>
      <c r="S83" s="74">
        <f t="shared" ca="1" si="21"/>
        <v>2433</v>
      </c>
      <c r="T83" s="67">
        <f ca="1">IF(E83&lt;&gt;"",(-E83)/((1+'Dados de entrada'!$B$6)^(S83/30)),"")</f>
        <v>81.735900783932834</v>
      </c>
      <c r="U83" s="67">
        <f t="shared" ca="1" si="22"/>
        <v>198863.44660730858</v>
      </c>
      <c r="V83" s="71">
        <f ca="1">IF(F83="","",-'Dados de entrada'!$B$2)</f>
        <v>-3000</v>
      </c>
      <c r="X83" s="93">
        <f>+Resumo!$E$12-Resumo!$E$20</f>
        <v>0</v>
      </c>
      <c r="Y83" s="116">
        <f t="shared" si="31"/>
        <v>48645</v>
      </c>
      <c r="Z83" s="81">
        <v>30</v>
      </c>
      <c r="AA83" s="81">
        <f t="shared" ca="1" si="32"/>
        <v>2398</v>
      </c>
      <c r="AB83" s="93">
        <f>IF(A83&lt;='Dados de entrada'!$B$18,'Dados de entrada'!$B$20,0)</f>
        <v>0</v>
      </c>
      <c r="AC83" s="93">
        <f>IF(OR(Resumo!$E$23&gt;0,Resumo!$E$28&gt;0,Resumo!$E$33&gt;0),IF(AND(A83&gt;'Dados de entrada'!$B$18,A83&lt;='Dados de entrada'!$B$10),'Dados de entrada'!$B$21,0),IF(AND(A83&gt;'Dados de entrada'!$B$18,A83&lt;='Dados de entrada'!$B$10),'Dados de entrada'!$B$21,IF(A83&lt;='Dados de entrada'!$B$18,X83,0)))</f>
        <v>3000</v>
      </c>
      <c r="AD83" s="93">
        <f ca="1">AC83/((1+'Dados de entrada'!$D$22)^($AA83/360))</f>
        <v>329.9678469233325</v>
      </c>
      <c r="AE83" s="93">
        <f>IF(A83&lt;='Dados de entrada'!$B$27,'Dados de entrada'!$B$29,0)</f>
        <v>0</v>
      </c>
      <c r="AF83" s="93">
        <f>IF(AND(A83&gt;'Dados de entrada'!$B$27,A83&lt;='Dados de entrada'!$B$10),'Dados de entrada'!$B$30,0)</f>
        <v>0</v>
      </c>
      <c r="AG83" s="93">
        <f ca="1">AF83/((1+'Dados de entrada'!$D$31)^($AA83/360))</f>
        <v>0</v>
      </c>
      <c r="AH83" s="93">
        <f>IF(A83&lt;='Dados de entrada'!$B$36,'Dados de entrada'!$B$38,0)</f>
        <v>0</v>
      </c>
      <c r="AI83" s="93">
        <f>IF(AND(A83&gt;'Dados de entrada'!$B$36,A83&lt;='Dados de entrada'!$B$10),'Dados de entrada'!$B$39,0)</f>
        <v>0</v>
      </c>
      <c r="AJ83" s="93">
        <f ca="1">AI83/((1+'Dados de entrada'!$D$40)^($AA83/360))</f>
        <v>0</v>
      </c>
      <c r="AK83" s="93">
        <f>IF(A83&lt;='Dados de entrada'!$B$45,'Dados de entrada'!$B$47,0)</f>
        <v>0</v>
      </c>
      <c r="AL83" s="93">
        <f>IF(AND(A83&gt;'Dados de entrada'!$B$45,A83&lt;='Dados de entrada'!$B$10),'Dados de entrada'!$B$48,0)</f>
        <v>0</v>
      </c>
      <c r="AM83" s="93">
        <f ca="1">AL83/((1+'Dados de entrada'!$D$49)^($AA83/360))</f>
        <v>0</v>
      </c>
      <c r="AN83" s="85">
        <f t="shared" si="30"/>
        <v>3000</v>
      </c>
    </row>
    <row r="84" spans="1:40">
      <c r="A84" s="69">
        <f>IF(A83="","",IF(A83+1&lt;='Dados de entrada'!$B$10,A83+1,""))</f>
        <v>81</v>
      </c>
      <c r="B84" s="70">
        <f t="shared" si="23"/>
        <v>48676</v>
      </c>
      <c r="C84" s="69">
        <f t="shared" si="24"/>
        <v>30</v>
      </c>
      <c r="D84" s="71">
        <f ca="1">IF(A84="","",F83*(1+'Dados de entrada'!$B$6)^(C84/30))</f>
        <v>15780.314289150496</v>
      </c>
      <c r="E84" s="71">
        <f ca="1">IF(A84="","",-'Dados de entrada'!$J$20)</f>
        <v>-615.26347669246445</v>
      </c>
      <c r="F84" s="71">
        <f t="shared" ca="1" si="25"/>
        <v>15165.050812458032</v>
      </c>
      <c r="G84" s="71">
        <f t="shared" ca="1" si="26"/>
        <v>227.34332345891562</v>
      </c>
      <c r="H84" s="69">
        <f t="shared" ca="1" si="27"/>
        <v>2464</v>
      </c>
      <c r="I84" s="71">
        <f ca="1">IF(A84="","",MIN(H84,365)*G84*'Dados de entrada'!$B$11+G84*'Dados de entrada'!$B$12)</f>
        <v>7.6682903002692235</v>
      </c>
      <c r="J84" s="71">
        <f t="shared" ca="1" si="28"/>
        <v>-3000</v>
      </c>
      <c r="K84" s="71">
        <f t="shared" ca="1" si="29"/>
        <v>-3000</v>
      </c>
      <c r="L84" s="72">
        <f ca="1">IF(A84="","",IF(A84&lt;='Dados de entrada'!$J$2,-V83,-V83*(1-'Dados de entrada'!$J$3)))</f>
        <v>3000</v>
      </c>
      <c r="M84" s="72">
        <f ca="1">IF(A84="","",L84*'Dados de entrada'!$E$4)</f>
        <v>60.599999999999994</v>
      </c>
      <c r="N84" s="72">
        <f ca="1">IF(A84="","",IF(A84&lt;='Dados de entrada'!$E$2,'Dados de entrada'!$E$13*'Dados de entrada'!$E$10/'Dados de entrada'!$B$10,'Dados de entrada'!$E$13*'Dados de entrada'!$E$10/'Dados de entrada'!$B$10*(1-'Dados de entrada'!$E$3)))</f>
        <v>0</v>
      </c>
      <c r="O84" s="71">
        <f ca="1">IF(A84="","",IF(AND(A84='Dados de entrada'!$E$2),(O83*(1+'Dados de entrada'!$B$6)-L84)*(1-'Dados de entrada'!$E$3),IF(AND(A84&lt;&gt;'Dados de entrada'!$A$2),O83*(1+'Dados de entrada'!$B$6)^(C84/30)-L84,"")))</f>
        <v>73944.178650009504</v>
      </c>
      <c r="P84" s="71">
        <f ca="1">IF(A84="","",(O83*((1+'Dados de entrada'!$B$6)^(-DAYS360(B84,B83)/30)-1)-O83*((1+'Dados de entrada'!$H$10)^(-DAYS360(B84,B83)/360)-1))*4.65%)</f>
        <v>68.303289348077783</v>
      </c>
      <c r="Q84" s="75">
        <f ca="1">IF(E84&lt;&gt;"",'Dados de entrada'!$H$5-E84*'Dados de entrada'!$H$6,"")</f>
        <v>0</v>
      </c>
      <c r="R84" s="71">
        <f ca="1">IF(A84="","",IF(A84='Dados de entrada'!$E$2,PV('Dados de entrada'!$B$6,'Dados de entrada'!$B$10-'Dados de entrada'!$E$2+1,+L84*(-'Dados de entrada'!$E$3),,1)+L84*(1-'Dados de entrada'!$E$3)-M84-N84-P84-Q84,L84-M84-N84-P84-Q84))</f>
        <v>2871.0967106519224</v>
      </c>
      <c r="S84" s="74">
        <f t="shared" ca="1" si="21"/>
        <v>2464</v>
      </c>
      <c r="T84" s="67">
        <f ca="1">IF(E84&lt;&gt;"",(-E84)/((1+'Dados de entrada'!$B$6)^(S84/30)),"")</f>
        <v>79.660506633717148</v>
      </c>
      <c r="U84" s="67">
        <f t="shared" ca="1" si="22"/>
        <v>196283.48834547904</v>
      </c>
      <c r="V84" s="71">
        <f ca="1">IF(F84="","",-'Dados de entrada'!$B$2)</f>
        <v>-3000</v>
      </c>
      <c r="X84" s="93">
        <f>+Resumo!$E$12-Resumo!$E$20</f>
        <v>0</v>
      </c>
      <c r="Y84" s="116">
        <f t="shared" si="31"/>
        <v>48676</v>
      </c>
      <c r="Z84" s="81">
        <v>30</v>
      </c>
      <c r="AA84" s="81">
        <f t="shared" ca="1" si="32"/>
        <v>2428</v>
      </c>
      <c r="AB84" s="93">
        <f>IF(A84&lt;='Dados de entrada'!$B$18,'Dados de entrada'!$B$20,0)</f>
        <v>0</v>
      </c>
      <c r="AC84" s="93">
        <f>IF(OR(Resumo!$E$23&gt;0,Resumo!$E$28&gt;0,Resumo!$E$33&gt;0),IF(AND(A84&gt;'Dados de entrada'!$B$18,A84&lt;='Dados de entrada'!$B$10),'Dados de entrada'!$B$21,0),IF(AND(A84&gt;'Dados de entrada'!$B$18,A84&lt;='Dados de entrada'!$B$10),'Dados de entrada'!$B$21,IF(A84&lt;='Dados de entrada'!$B$18,X84,0)))</f>
        <v>3000</v>
      </c>
      <c r="AD84" s="93">
        <f ca="1">AC84/((1+'Dados de entrada'!$D$22)^($AA84/360))</f>
        <v>320.98039583981762</v>
      </c>
      <c r="AE84" s="93">
        <f>IF(A84&lt;='Dados de entrada'!$B$27,'Dados de entrada'!$B$29,0)</f>
        <v>0</v>
      </c>
      <c r="AF84" s="93">
        <f>IF(AND(A84&gt;'Dados de entrada'!$B$27,A84&lt;='Dados de entrada'!$B$10),'Dados de entrada'!$B$30,0)</f>
        <v>0</v>
      </c>
      <c r="AG84" s="93">
        <f ca="1">AF84/((1+'Dados de entrada'!$D$31)^($AA84/360))</f>
        <v>0</v>
      </c>
      <c r="AH84" s="93">
        <f>IF(A84&lt;='Dados de entrada'!$B$36,'Dados de entrada'!$B$38,0)</f>
        <v>0</v>
      </c>
      <c r="AI84" s="93">
        <f>IF(AND(A84&gt;'Dados de entrada'!$B$36,A84&lt;='Dados de entrada'!$B$10),'Dados de entrada'!$B$39,0)</f>
        <v>0</v>
      </c>
      <c r="AJ84" s="93">
        <f ca="1">AI84/((1+'Dados de entrada'!$D$40)^($AA84/360))</f>
        <v>0</v>
      </c>
      <c r="AK84" s="93">
        <f>IF(A84&lt;='Dados de entrada'!$B$45,'Dados de entrada'!$B$47,0)</f>
        <v>0</v>
      </c>
      <c r="AL84" s="93">
        <f>IF(AND(A84&gt;'Dados de entrada'!$B$45,A84&lt;='Dados de entrada'!$B$10),'Dados de entrada'!$B$48,0)</f>
        <v>0</v>
      </c>
      <c r="AM84" s="93">
        <f ca="1">AL84/((1+'Dados de entrada'!$D$49)^($AA84/360))</f>
        <v>0</v>
      </c>
      <c r="AN84" s="85">
        <f t="shared" si="30"/>
        <v>3000</v>
      </c>
    </row>
    <row r="85" spans="1:40">
      <c r="A85" s="69">
        <f>IF(A84="","",IF(A84+1&lt;='Dados de entrada'!$B$10,A84+1,""))</f>
        <v>82</v>
      </c>
      <c r="B85" s="70">
        <f t="shared" si="23"/>
        <v>48706</v>
      </c>
      <c r="C85" s="69">
        <f t="shared" si="24"/>
        <v>30</v>
      </c>
      <c r="D85" s="71">
        <f ca="1">IF(A85="","",F84*(1+'Dados de entrada'!$B$6)^(C85/30))</f>
        <v>15547.241443948955</v>
      </c>
      <c r="E85" s="71">
        <f ca="1">IF(A85="","",-'Dados de entrada'!$J$20)</f>
        <v>-615.26347669246445</v>
      </c>
      <c r="F85" s="71">
        <f t="shared" ca="1" si="25"/>
        <v>14931.977967256491</v>
      </c>
      <c r="G85" s="71">
        <f t="shared" ca="1" si="26"/>
        <v>233.07284520154099</v>
      </c>
      <c r="H85" s="69">
        <f t="shared" ca="1" si="27"/>
        <v>2494</v>
      </c>
      <c r="I85" s="71">
        <f ca="1">IF(A85="","",MIN(H85,365)*G85*'Dados de entrada'!$B$11+G85*'Dados de entrada'!$B$12)</f>
        <v>7.8615470686479769</v>
      </c>
      <c r="J85" s="71">
        <f t="shared" ca="1" si="28"/>
        <v>-3000</v>
      </c>
      <c r="K85" s="71">
        <f t="shared" ca="1" si="29"/>
        <v>-3000</v>
      </c>
      <c r="L85" s="72">
        <f ca="1">IF(A85="","",IF(A85&lt;='Dados de entrada'!$J$2,-V84,-V84*(1-'Dados de entrada'!$J$3)))</f>
        <v>3000</v>
      </c>
      <c r="M85" s="72">
        <f ca="1">IF(A85="","",L85*'Dados de entrada'!$E$4)</f>
        <v>60.599999999999994</v>
      </c>
      <c r="N85" s="72">
        <f ca="1">IF(A85="","",IF(A85&lt;='Dados de entrada'!$E$2,'Dados de entrada'!$E$13*'Dados de entrada'!$E$10/'Dados de entrada'!$B$10,'Dados de entrada'!$E$13*'Dados de entrada'!$E$10/'Dados de entrada'!$B$10*(1-'Dados de entrada'!$E$3)))</f>
        <v>0</v>
      </c>
      <c r="O85" s="71">
        <f ca="1">IF(A85="","",IF(AND(A85='Dados de entrada'!$E$2),(O84*(1+'Dados de entrada'!$B$6)-L85)*(1-'Dados de entrada'!$E$3),IF(AND(A85&lt;&gt;'Dados de entrada'!$A$2),O84*(1+'Dados de entrada'!$B$6)^(C85/30)-L85,"")))</f>
        <v>72807.724818289309</v>
      </c>
      <c r="P85" s="71">
        <f ca="1">IF(A85="","",(O84*((1+'Dados de entrada'!$B$6)^(-DAYS360(B85,B84)/30)-1)-O84*((1+'Dados de entrada'!$H$10)^(-DAYS360(B85,B84)/360)-1))*4.65%)</f>
        <v>67.294460138894905</v>
      </c>
      <c r="Q85" s="75">
        <f ca="1">IF(E85&lt;&gt;"",'Dados de entrada'!$H$5-E85*'Dados de entrada'!$H$6,"")</f>
        <v>0</v>
      </c>
      <c r="R85" s="71">
        <f ca="1">IF(A85="","",IF(A85='Dados de entrada'!$E$2,PV('Dados de entrada'!$B$6,'Dados de entrada'!$B$10-'Dados de entrada'!$E$2+1,+L85*(-'Dados de entrada'!$E$3),,1)+L85*(1-'Dados de entrada'!$E$3)-M85-N85-P85-Q85,L85-M85-N85-P85-Q85))</f>
        <v>2872.1055398611052</v>
      </c>
      <c r="S85" s="74">
        <f t="shared" ca="1" si="21"/>
        <v>2494</v>
      </c>
      <c r="T85" s="67">
        <f ca="1">IF(E85&lt;&gt;"",(-E85)/((1+'Dados de entrada'!$B$6)^(S85/30)),"")</f>
        <v>77.702249315530537</v>
      </c>
      <c r="U85" s="67">
        <f t="shared" ca="1" si="22"/>
        <v>193789.40979293315</v>
      </c>
      <c r="V85" s="71">
        <f ca="1">IF(F85="","",-'Dados de entrada'!$B$2)</f>
        <v>-3000</v>
      </c>
      <c r="X85" s="93">
        <f>+Resumo!$E$12-Resumo!$E$20</f>
        <v>0</v>
      </c>
      <c r="Y85" s="116">
        <f t="shared" si="31"/>
        <v>48706</v>
      </c>
      <c r="Z85" s="81">
        <v>30</v>
      </c>
      <c r="AA85" s="81">
        <f t="shared" ca="1" si="32"/>
        <v>2458</v>
      </c>
      <c r="AB85" s="93">
        <f>IF(A85&lt;='Dados de entrada'!$B$18,'Dados de entrada'!$B$20,0)</f>
        <v>0</v>
      </c>
      <c r="AC85" s="93">
        <f>IF(OR(Resumo!$E$23&gt;0,Resumo!$E$28&gt;0,Resumo!$E$33&gt;0),IF(AND(A85&gt;'Dados de entrada'!$B$18,A85&lt;='Dados de entrada'!$B$10),'Dados de entrada'!$B$21,0),IF(AND(A85&gt;'Dados de entrada'!$B$18,A85&lt;='Dados de entrada'!$B$10),'Dados de entrada'!$B$21,IF(A85&lt;='Dados de entrada'!$B$18,X85,0)))</f>
        <v>3000</v>
      </c>
      <c r="AD85" s="93">
        <f ca="1">AC85/((1+'Dados de entrada'!$D$22)^($AA85/360))</f>
        <v>312.23773914379154</v>
      </c>
      <c r="AE85" s="93">
        <f>IF(A85&lt;='Dados de entrada'!$B$27,'Dados de entrada'!$B$29,0)</f>
        <v>0</v>
      </c>
      <c r="AF85" s="93">
        <f>IF(AND(A85&gt;'Dados de entrada'!$B$27,A85&lt;='Dados de entrada'!$B$10),'Dados de entrada'!$B$30,0)</f>
        <v>0</v>
      </c>
      <c r="AG85" s="93">
        <f ca="1">AF85/((1+'Dados de entrada'!$D$31)^($AA85/360))</f>
        <v>0</v>
      </c>
      <c r="AH85" s="93">
        <f>IF(A85&lt;='Dados de entrada'!$B$36,'Dados de entrada'!$B$38,0)</f>
        <v>0</v>
      </c>
      <c r="AI85" s="93">
        <f>IF(AND(A85&gt;'Dados de entrada'!$B$36,A85&lt;='Dados de entrada'!$B$10),'Dados de entrada'!$B$39,0)</f>
        <v>0</v>
      </c>
      <c r="AJ85" s="93">
        <f ca="1">AI85/((1+'Dados de entrada'!$D$40)^($AA85/360))</f>
        <v>0</v>
      </c>
      <c r="AK85" s="93">
        <f>IF(A85&lt;='Dados de entrada'!$B$45,'Dados de entrada'!$B$47,0)</f>
        <v>0</v>
      </c>
      <c r="AL85" s="93">
        <f>IF(AND(A85&gt;'Dados de entrada'!$B$45,A85&lt;='Dados de entrada'!$B$10),'Dados de entrada'!$B$48,0)</f>
        <v>0</v>
      </c>
      <c r="AM85" s="93">
        <f ca="1">AL85/((1+'Dados de entrada'!$D$49)^($AA85/360))</f>
        <v>0</v>
      </c>
      <c r="AN85" s="85">
        <f t="shared" si="30"/>
        <v>3000</v>
      </c>
    </row>
    <row r="86" spans="1:40">
      <c r="A86" s="69">
        <f>IF(A85="","",IF(A85+1&lt;='Dados de entrada'!$B$10,A85+1,""))</f>
        <v>83</v>
      </c>
      <c r="B86" s="70">
        <f t="shared" si="23"/>
        <v>48737</v>
      </c>
      <c r="C86" s="69">
        <f t="shared" si="24"/>
        <v>30</v>
      </c>
      <c r="D86" s="71">
        <f ca="1">IF(A86="","",F85*(1+'Dados de entrada'!$B$6)^(C86/30))</f>
        <v>15308.294681212117</v>
      </c>
      <c r="E86" s="71">
        <f ca="1">IF(A86="","",-'Dados de entrada'!$J$20)</f>
        <v>-615.26347669246445</v>
      </c>
      <c r="F86" s="71">
        <f t="shared" ca="1" si="25"/>
        <v>14693.031204519653</v>
      </c>
      <c r="G86" s="71">
        <f t="shared" ca="1" si="26"/>
        <v>238.94676273683763</v>
      </c>
      <c r="H86" s="69">
        <f t="shared" ca="1" si="27"/>
        <v>2525</v>
      </c>
      <c r="I86" s="71">
        <f ca="1">IF(A86="","",MIN(H86,365)*G86*'Dados de entrada'!$B$11+G86*'Dados de entrada'!$B$12)</f>
        <v>8.0596743071135322</v>
      </c>
      <c r="J86" s="71">
        <f t="shared" ca="1" si="28"/>
        <v>-3000</v>
      </c>
      <c r="K86" s="71">
        <f t="shared" ca="1" si="29"/>
        <v>-3000</v>
      </c>
      <c r="L86" s="72">
        <f ca="1">IF(A86="","",IF(A86&lt;='Dados de entrada'!$J$2,-V85,-V85*(1-'Dados de entrada'!$J$3)))</f>
        <v>3000</v>
      </c>
      <c r="M86" s="72">
        <f ca="1">IF(A86="","",L86*'Dados de entrada'!$E$4)</f>
        <v>60.599999999999994</v>
      </c>
      <c r="N86" s="72">
        <f ca="1">IF(A86="","",IF(A86&lt;='Dados de entrada'!$E$2,'Dados de entrada'!$E$13*'Dados de entrada'!$E$10/'Dados de entrada'!$B$10,'Dados de entrada'!$E$13*'Dados de entrada'!$E$10/'Dados de entrada'!$B$10*(1-'Dados de entrada'!$E$3)))</f>
        <v>0</v>
      </c>
      <c r="O86" s="71">
        <f ca="1">IF(A86="","",IF(AND(A86='Dados de entrada'!$E$2),(O85*(1+'Dados de entrada'!$B$6)-L86)*(1-'Dados de entrada'!$E$3),IF(AND(A86&lt;&gt;'Dados de entrada'!$A$2),O85*(1+'Dados de entrada'!$B$6)^(C86/30)-L86,"")))</f>
        <v>71642.630000595716</v>
      </c>
      <c r="P86" s="71">
        <f ca="1">IF(A86="","",(O85*((1+'Dados de entrada'!$B$6)^(-DAYS360(B86,B85)/30)-1)-O85*((1+'Dados de entrada'!$H$10)^(-DAYS360(B86,B85)/360)-1))*4.65%)</f>
        <v>66.260206348067513</v>
      </c>
      <c r="Q86" s="75">
        <f ca="1">IF(E86&lt;&gt;"",'Dados de entrada'!$H$5-E86*'Dados de entrada'!$H$6,"")</f>
        <v>0</v>
      </c>
      <c r="R86" s="71">
        <f ca="1">IF(A86="","",IF(A86='Dados de entrada'!$E$2,PV('Dados de entrada'!$B$6,'Dados de entrada'!$B$10-'Dados de entrada'!$E$2+1,+L86*(-'Dados de entrada'!$E$3),,1)+L86*(1-'Dados de entrada'!$E$3)-M86-N86-P86-Q86,L86-M86-N86-P86-Q86))</f>
        <v>2873.1397936519325</v>
      </c>
      <c r="S86" s="74">
        <f t="shared" ca="1" si="21"/>
        <v>2525</v>
      </c>
      <c r="T86" s="67">
        <f ca="1">IF(E86&lt;&gt;"",(-E86)/((1+'Dados de entrada'!$B$6)^(S86/30)),"")</f>
        <v>75.729275479781805</v>
      </c>
      <c r="U86" s="67">
        <f t="shared" ca="1" si="22"/>
        <v>191216.42058644907</v>
      </c>
      <c r="V86" s="71">
        <f ca="1">IF(F86="","",-'Dados de entrada'!$B$2)</f>
        <v>-3000</v>
      </c>
      <c r="X86" s="93">
        <f>+Resumo!$E$12-Resumo!$E$20</f>
        <v>0</v>
      </c>
      <c r="Y86" s="116">
        <f t="shared" si="31"/>
        <v>48737</v>
      </c>
      <c r="Z86" s="81">
        <v>30</v>
      </c>
      <c r="AA86" s="81">
        <f t="shared" ca="1" si="32"/>
        <v>2488</v>
      </c>
      <c r="AB86" s="93">
        <f>IF(A86&lt;='Dados de entrada'!$B$18,'Dados de entrada'!$B$20,0)</f>
        <v>0</v>
      </c>
      <c r="AC86" s="93">
        <f>IF(OR(Resumo!$E$23&gt;0,Resumo!$E$28&gt;0,Resumo!$E$33&gt;0),IF(AND(A86&gt;'Dados de entrada'!$B$18,A86&lt;='Dados de entrada'!$B$10),'Dados de entrada'!$B$21,0),IF(AND(A86&gt;'Dados de entrada'!$B$18,A86&lt;='Dados de entrada'!$B$10),'Dados de entrada'!$B$21,IF(A86&lt;='Dados de entrada'!$B$18,X86,0)))</f>
        <v>3000</v>
      </c>
      <c r="AD86" s="93">
        <f ca="1">AC86/((1+'Dados de entrada'!$D$22)^($AA86/360))</f>
        <v>303.73320928384379</v>
      </c>
      <c r="AE86" s="93">
        <f>IF(A86&lt;='Dados de entrada'!$B$27,'Dados de entrada'!$B$29,0)</f>
        <v>0</v>
      </c>
      <c r="AF86" s="93">
        <f>IF(AND(A86&gt;'Dados de entrada'!$B$27,A86&lt;='Dados de entrada'!$B$10),'Dados de entrada'!$B$30,0)</f>
        <v>0</v>
      </c>
      <c r="AG86" s="93">
        <f ca="1">AF86/((1+'Dados de entrada'!$D$31)^($AA86/360))</f>
        <v>0</v>
      </c>
      <c r="AH86" s="93">
        <f>IF(A86&lt;='Dados de entrada'!$B$36,'Dados de entrada'!$B$38,0)</f>
        <v>0</v>
      </c>
      <c r="AI86" s="93">
        <f>IF(AND(A86&gt;'Dados de entrada'!$B$36,A86&lt;='Dados de entrada'!$B$10),'Dados de entrada'!$B$39,0)</f>
        <v>0</v>
      </c>
      <c r="AJ86" s="93">
        <f ca="1">AI86/((1+'Dados de entrada'!$D$40)^($AA86/360))</f>
        <v>0</v>
      </c>
      <c r="AK86" s="93">
        <f>IF(A86&lt;='Dados de entrada'!$B$45,'Dados de entrada'!$B$47,0)</f>
        <v>0</v>
      </c>
      <c r="AL86" s="93">
        <f>IF(AND(A86&gt;'Dados de entrada'!$B$45,A86&lt;='Dados de entrada'!$B$10),'Dados de entrada'!$B$48,0)</f>
        <v>0</v>
      </c>
      <c r="AM86" s="93">
        <f ca="1">AL86/((1+'Dados de entrada'!$D$49)^($AA86/360))</f>
        <v>0</v>
      </c>
      <c r="AN86" s="85">
        <f t="shared" si="30"/>
        <v>3000</v>
      </c>
    </row>
    <row r="87" spans="1:40">
      <c r="A87" s="69">
        <f>IF(A86="","",IF(A86+1&lt;='Dados de entrada'!$B$10,A86+1,""))</f>
        <v>84</v>
      </c>
      <c r="B87" s="70">
        <f t="shared" si="23"/>
        <v>48767</v>
      </c>
      <c r="C87" s="69">
        <f t="shared" si="24"/>
        <v>30</v>
      </c>
      <c r="D87" s="71">
        <f ca="1">IF(A87="","",F86*(1+'Dados de entrada'!$B$6)^(C87/30))</f>
        <v>15063.325966074824</v>
      </c>
      <c r="E87" s="71">
        <f ca="1">IF(A87="","",-'Dados de entrada'!$J$20)</f>
        <v>-615.26347669246445</v>
      </c>
      <c r="F87" s="71">
        <f t="shared" ca="1" si="25"/>
        <v>14448.062489382361</v>
      </c>
      <c r="G87" s="71">
        <f t="shared" ca="1" si="26"/>
        <v>244.96871513729275</v>
      </c>
      <c r="H87" s="69">
        <f t="shared" ca="1" si="27"/>
        <v>2555</v>
      </c>
      <c r="I87" s="71">
        <f ca="1">IF(A87="","",MIN(H87,365)*G87*'Dados de entrada'!$B$11+G87*'Dados de entrada'!$B$12)</f>
        <v>8.262794761580885</v>
      </c>
      <c r="J87" s="71">
        <f t="shared" ca="1" si="28"/>
        <v>-3000</v>
      </c>
      <c r="K87" s="71">
        <f t="shared" ca="1" si="29"/>
        <v>-3000</v>
      </c>
      <c r="L87" s="72">
        <f ca="1">IF(A87="","",IF(A87&lt;='Dados de entrada'!$J$2,-V86,-V86*(1-'Dados de entrada'!$J$3)))</f>
        <v>3000</v>
      </c>
      <c r="M87" s="72">
        <f ca="1">IF(A87="","",L87*'Dados de entrada'!$E$4)</f>
        <v>60.599999999999994</v>
      </c>
      <c r="N87" s="72">
        <f ca="1">IF(A87="","",IF(A87&lt;='Dados de entrada'!$E$2,'Dados de entrada'!$E$13*'Dados de entrada'!$E$10/'Dados de entrada'!$B$10,'Dados de entrada'!$E$13*'Dados de entrada'!$E$10/'Dados de entrada'!$B$10*(1-'Dados de entrada'!$E$3)))</f>
        <v>0</v>
      </c>
      <c r="O87" s="71">
        <f ca="1">IF(A87="","",IF(AND(A87='Dados de entrada'!$E$2),(O86*(1+'Dados de entrada'!$B$6)-L87)*(1-'Dados de entrada'!$E$3),IF(AND(A87&lt;&gt;'Dados de entrada'!$A$2),O86*(1+'Dados de entrada'!$B$6)^(C87/30)-L87,"")))</f>
        <v>70448.172384872116</v>
      </c>
      <c r="P87" s="71">
        <f ca="1">IF(A87="","",(O86*((1+'Dados de entrada'!$B$6)^(-DAYS360(B87,B86)/30)-1)-O86*((1+'Dados de entrada'!$H$10)^(-DAYS360(B87,B86)/360)-1))*4.65%)</f>
        <v>65.199887223577463</v>
      </c>
      <c r="Q87" s="75">
        <f ca="1">IF(E87&lt;&gt;"",'Dados de entrada'!$H$5-E87*'Dados de entrada'!$H$6,"")</f>
        <v>0</v>
      </c>
      <c r="R87" s="71">
        <f ca="1">IF(A87="","",IF(A87='Dados de entrada'!$E$2,PV('Dados de entrada'!$B$6,'Dados de entrada'!$B$10-'Dados de entrada'!$E$2+1,+L87*(-'Dados de entrada'!$E$3),,1)+L87*(1-'Dados de entrada'!$E$3)-M87-N87-P87-Q87,L87-M87-N87-P87-Q87))</f>
        <v>2874.2001127764224</v>
      </c>
      <c r="S87" s="74">
        <f t="shared" ca="1" si="21"/>
        <v>2555</v>
      </c>
      <c r="T87" s="67">
        <f ca="1">IF(E87&lt;&gt;"",(-E87)/((1+'Dados de entrada'!$B$6)^(S87/30)),"")</f>
        <v>73.867657795235431</v>
      </c>
      <c r="U87" s="67">
        <f t="shared" ca="1" si="22"/>
        <v>188731.86566682652</v>
      </c>
      <c r="V87" s="71">
        <f ca="1">IF(F87="","",-'Dados de entrada'!$B$2)</f>
        <v>-3000</v>
      </c>
      <c r="X87" s="93">
        <f>+Resumo!$E$12-Resumo!$E$20</f>
        <v>0</v>
      </c>
      <c r="Y87" s="116">
        <f t="shared" si="31"/>
        <v>48767</v>
      </c>
      <c r="Z87" s="81">
        <v>30</v>
      </c>
      <c r="AA87" s="81">
        <f t="shared" ca="1" si="32"/>
        <v>2518</v>
      </c>
      <c r="AB87" s="93">
        <f>IF(A87&lt;='Dados de entrada'!$B$18,'Dados de entrada'!$B$20,0)</f>
        <v>0</v>
      </c>
      <c r="AC87" s="93">
        <f>IF(OR(Resumo!$E$23&gt;0,Resumo!$E$28&gt;0,Resumo!$E$33&gt;0),IF(AND(A87&gt;'Dados de entrada'!$B$18,A87&lt;='Dados de entrada'!$B$10),'Dados de entrada'!$B$21,0),IF(AND(A87&gt;'Dados de entrada'!$B$18,A87&lt;='Dados de entrada'!$B$10),'Dados de entrada'!$B$21,IF(A87&lt;='Dados de entrada'!$B$18,X87,0)))</f>
        <v>3000</v>
      </c>
      <c r="AD87" s="93">
        <f ca="1">AC87/((1+'Dados de entrada'!$D$22)^($AA87/360))</f>
        <v>295.46032031502324</v>
      </c>
      <c r="AE87" s="93">
        <f>IF(A87&lt;='Dados de entrada'!$B$27,'Dados de entrada'!$B$29,0)</f>
        <v>0</v>
      </c>
      <c r="AF87" s="93">
        <f>IF(AND(A87&gt;'Dados de entrada'!$B$27,A87&lt;='Dados de entrada'!$B$10),'Dados de entrada'!$B$30,0)</f>
        <v>0</v>
      </c>
      <c r="AG87" s="93">
        <f ca="1">AF87/((1+'Dados de entrada'!$D$31)^($AA87/360))</f>
        <v>0</v>
      </c>
      <c r="AH87" s="93">
        <f>IF(A87&lt;='Dados de entrada'!$B$36,'Dados de entrada'!$B$38,0)</f>
        <v>0</v>
      </c>
      <c r="AI87" s="93">
        <f>IF(AND(A87&gt;'Dados de entrada'!$B$36,A87&lt;='Dados de entrada'!$B$10),'Dados de entrada'!$B$39,0)</f>
        <v>0</v>
      </c>
      <c r="AJ87" s="93">
        <f ca="1">AI87/((1+'Dados de entrada'!$D$40)^($AA87/360))</f>
        <v>0</v>
      </c>
      <c r="AK87" s="93">
        <f>IF(A87&lt;='Dados de entrada'!$B$45,'Dados de entrada'!$B$47,0)</f>
        <v>0</v>
      </c>
      <c r="AL87" s="93">
        <f>IF(AND(A87&gt;'Dados de entrada'!$B$45,A87&lt;='Dados de entrada'!$B$10),'Dados de entrada'!$B$48,0)</f>
        <v>0</v>
      </c>
      <c r="AM87" s="93">
        <f ca="1">AL87/((1+'Dados de entrada'!$D$49)^($AA87/360))</f>
        <v>0</v>
      </c>
      <c r="AN87" s="85">
        <f t="shared" si="30"/>
        <v>3000</v>
      </c>
    </row>
    <row r="88" spans="1:40">
      <c r="A88" s="69">
        <f>IF(A87="","",IF(A87+1&lt;='Dados de entrada'!$B$10,A87+1,""))</f>
        <v>85</v>
      </c>
      <c r="B88" s="70">
        <f t="shared" si="23"/>
        <v>48798</v>
      </c>
      <c r="C88" s="69">
        <f t="shared" si="24"/>
        <v>30</v>
      </c>
      <c r="D88" s="71">
        <f ca="1">IF(A88="","",F87*(1+'Dados de entrada'!$B$6)^(C88/30))</f>
        <v>14812.18353288728</v>
      </c>
      <c r="E88" s="71">
        <f ca="1">IF(A88="","",-'Dados de entrada'!$J$20)</f>
        <v>-615.26347669246445</v>
      </c>
      <c r="F88" s="71">
        <f t="shared" ca="1" si="25"/>
        <v>14196.920056194816</v>
      </c>
      <c r="G88" s="71">
        <f t="shared" ca="1" si="26"/>
        <v>251.14243318754416</v>
      </c>
      <c r="H88" s="69">
        <f t="shared" ca="1" si="27"/>
        <v>2586</v>
      </c>
      <c r="I88" s="71">
        <f ca="1">IF(A88="","",MIN(H88,365)*G88*'Dados de entrada'!$B$11+G88*'Dados de entrada'!$B$12)</f>
        <v>8.4710342714158635</v>
      </c>
      <c r="J88" s="71">
        <f t="shared" ca="1" si="28"/>
        <v>-3000</v>
      </c>
      <c r="K88" s="71">
        <f t="shared" ca="1" si="29"/>
        <v>-3000</v>
      </c>
      <c r="L88" s="72">
        <f ca="1">IF(A88="","",IF(A88&lt;='Dados de entrada'!$J$2,-V87,-V87*(1-'Dados de entrada'!$J$3)))</f>
        <v>3000</v>
      </c>
      <c r="M88" s="72">
        <f ca="1">IF(A88="","",L88*'Dados de entrada'!$E$4)</f>
        <v>60.599999999999994</v>
      </c>
      <c r="N88" s="72">
        <f ca="1">IF(A88="","",IF(A88&lt;='Dados de entrada'!$E$2,'Dados de entrada'!$E$13*'Dados de entrada'!$E$10/'Dados de entrada'!$B$10,'Dados de entrada'!$E$13*'Dados de entrada'!$E$10/'Dados de entrada'!$B$10*(1-'Dados de entrada'!$E$3)))</f>
        <v>0</v>
      </c>
      <c r="O88" s="71">
        <f ca="1">IF(A88="","",IF(AND(A88='Dados de entrada'!$E$2),(O87*(1+'Dados de entrada'!$B$6)-L88)*(1-'Dados de entrada'!$E$3),IF(AND(A88&lt;&gt;'Dados de entrada'!$A$2),O87*(1+'Dados de entrada'!$B$6)^(C88/30)-L88,"")))</f>
        <v>69223.611967905832</v>
      </c>
      <c r="P88" s="71">
        <f ca="1">IF(A88="","",(O87*((1+'Dados de entrada'!$B$6)^(-DAYS360(B88,B87)/30)-1)-O87*((1+'Dados de entrada'!$H$10)^(-DAYS360(B88,B87)/360)-1))*4.65%)</f>
        <v>64.112845865131035</v>
      </c>
      <c r="Q88" s="75">
        <f ca="1">IF(E88&lt;&gt;"",'Dados de entrada'!$H$5-E88*'Dados de entrada'!$H$6,"")</f>
        <v>0</v>
      </c>
      <c r="R88" s="71">
        <f ca="1">IF(A88="","",IF(A88='Dados de entrada'!$E$2,PV('Dados de entrada'!$B$6,'Dados de entrada'!$B$10-'Dados de entrada'!$E$2+1,+L88*(-'Dados de entrada'!$E$3),,1)+L88*(1-'Dados de entrada'!$E$3)-M88-N88-P88-Q88,L88-M88-N88-P88-Q88))</f>
        <v>2875.2871541348691</v>
      </c>
      <c r="S88" s="74">
        <f t="shared" ca="1" si="21"/>
        <v>2586</v>
      </c>
      <c r="T88" s="67">
        <f ca="1">IF(E88&lt;&gt;"",(-E88)/((1+'Dados de entrada'!$B$6)^(S88/30)),"")</f>
        <v>71.992049850525532</v>
      </c>
      <c r="U88" s="67">
        <f t="shared" ca="1" si="22"/>
        <v>186171.44091345902</v>
      </c>
      <c r="V88" s="71">
        <f ca="1">IF(F88="","",-'Dados de entrada'!$B$2)</f>
        <v>-3000</v>
      </c>
      <c r="X88" s="93">
        <f>+Resumo!$E$12-Resumo!$E$20</f>
        <v>0</v>
      </c>
      <c r="Y88" s="116">
        <f t="shared" si="31"/>
        <v>48798</v>
      </c>
      <c r="Z88" s="81">
        <v>30</v>
      </c>
      <c r="AA88" s="81">
        <f t="shared" ca="1" si="32"/>
        <v>2548</v>
      </c>
      <c r="AB88" s="93">
        <f>IF(A88&lt;='Dados de entrada'!$B$18,'Dados de entrada'!$B$20,0)</f>
        <v>0</v>
      </c>
      <c r="AC88" s="93">
        <f>IF(OR(Resumo!$E$23&gt;0,Resumo!$E$28&gt;0,Resumo!$E$33&gt;0),IF(AND(A88&gt;'Dados de entrada'!$B$18,A88&lt;='Dados de entrada'!$B$10),'Dados de entrada'!$B$21,0),IF(AND(A88&gt;'Dados de entrada'!$B$18,A88&lt;='Dados de entrada'!$B$10),'Dados de entrada'!$B$21,IF(A88&lt;='Dados de entrada'!$B$18,X88,0)))</f>
        <v>3000</v>
      </c>
      <c r="AD88" s="93">
        <f ca="1">AC88/((1+'Dados de entrada'!$D$22)^($AA88/360))</f>
        <v>287.41276295235718</v>
      </c>
      <c r="AE88" s="93">
        <f>IF(A88&lt;='Dados de entrada'!$B$27,'Dados de entrada'!$B$29,0)</f>
        <v>0</v>
      </c>
      <c r="AF88" s="93">
        <f>IF(AND(A88&gt;'Dados de entrada'!$B$27,A88&lt;='Dados de entrada'!$B$10),'Dados de entrada'!$B$30,0)</f>
        <v>0</v>
      </c>
      <c r="AG88" s="93">
        <f ca="1">AF88/((1+'Dados de entrada'!$D$31)^($AA88/360))</f>
        <v>0</v>
      </c>
      <c r="AH88" s="93">
        <f>IF(A88&lt;='Dados de entrada'!$B$36,'Dados de entrada'!$B$38,0)</f>
        <v>0</v>
      </c>
      <c r="AI88" s="93">
        <f>IF(AND(A88&gt;'Dados de entrada'!$B$36,A88&lt;='Dados de entrada'!$B$10),'Dados de entrada'!$B$39,0)</f>
        <v>0</v>
      </c>
      <c r="AJ88" s="93">
        <f ca="1">AI88/((1+'Dados de entrada'!$D$40)^($AA88/360))</f>
        <v>0</v>
      </c>
      <c r="AK88" s="93">
        <f>IF(A88&lt;='Dados de entrada'!$B$45,'Dados de entrada'!$B$47,0)</f>
        <v>0</v>
      </c>
      <c r="AL88" s="93">
        <f>IF(AND(A88&gt;'Dados de entrada'!$B$45,A88&lt;='Dados de entrada'!$B$10),'Dados de entrada'!$B$48,0)</f>
        <v>0</v>
      </c>
      <c r="AM88" s="93">
        <f ca="1">AL88/((1+'Dados de entrada'!$D$49)^($AA88/360))</f>
        <v>0</v>
      </c>
      <c r="AN88" s="85">
        <f t="shared" si="30"/>
        <v>3000</v>
      </c>
    </row>
    <row r="89" spans="1:40">
      <c r="A89" s="69">
        <f>IF(A88="","",IF(A88+1&lt;='Dados de entrada'!$B$10,A88+1,""))</f>
        <v>86</v>
      </c>
      <c r="B89" s="70">
        <f t="shared" si="23"/>
        <v>48829</v>
      </c>
      <c r="C89" s="69">
        <f t="shared" si="24"/>
        <v>30</v>
      </c>
      <c r="D89" s="71">
        <f ca="1">IF(A89="","",F88*(1+'Dados de entrada'!$B$6)^(C89/30))</f>
        <v>14554.711791191567</v>
      </c>
      <c r="E89" s="71">
        <f ca="1">IF(A89="","",-'Dados de entrada'!$J$20)</f>
        <v>-615.26347669246445</v>
      </c>
      <c r="F89" s="71">
        <f t="shared" ca="1" si="25"/>
        <v>13939.448314499103</v>
      </c>
      <c r="G89" s="71">
        <f t="shared" ca="1" si="26"/>
        <v>257.47174169571372</v>
      </c>
      <c r="H89" s="69">
        <f t="shared" ca="1" si="27"/>
        <v>2617</v>
      </c>
      <c r="I89" s="71">
        <f ca="1">IF(A89="","",MIN(H89,365)*G89*'Dados de entrada'!$B$11+G89*'Dados de entrada'!$B$12)</f>
        <v>8.6845218473964234</v>
      </c>
      <c r="J89" s="71">
        <f t="shared" ca="1" si="28"/>
        <v>-3000</v>
      </c>
      <c r="K89" s="71">
        <f t="shared" ca="1" si="29"/>
        <v>-3000</v>
      </c>
      <c r="L89" s="72">
        <f ca="1">IF(A89="","",IF(A89&lt;='Dados de entrada'!$J$2,-V88,-V88*(1-'Dados de entrada'!$J$3)))</f>
        <v>3000</v>
      </c>
      <c r="M89" s="72">
        <f ca="1">IF(A89="","",L89*'Dados de entrada'!$E$4)</f>
        <v>60.599999999999994</v>
      </c>
      <c r="N89" s="72">
        <f ca="1">IF(A89="","",IF(A89&lt;='Dados de entrada'!$E$2,'Dados de entrada'!$E$13*'Dados de entrada'!$E$10/'Dados de entrada'!$B$10,'Dados de entrada'!$E$13*'Dados de entrada'!$E$10/'Dados de entrada'!$B$10*(1-'Dados de entrada'!$E$3)))</f>
        <v>0</v>
      </c>
      <c r="O89" s="71">
        <f ca="1">IF(A89="","",IF(AND(A89='Dados de entrada'!$E$2),(O88*(1+'Dados de entrada'!$B$6)-L89)*(1-'Dados de entrada'!$E$3),IF(AND(A89&lt;&gt;'Dados de entrada'!$A$2),O88*(1+'Dados de entrada'!$B$6)^(C89/30)-L89,"")))</f>
        <v>67968.190096873426</v>
      </c>
      <c r="P89" s="71">
        <f ca="1">IF(A89="","",(O88*((1+'Dados de entrada'!$B$6)^(-DAYS360(B89,B88)/30)-1)-O88*((1+'Dados de entrada'!$H$10)^(-DAYS360(B89,B88)/360)-1))*4.65%)</f>
        <v>62.99840881718913</v>
      </c>
      <c r="Q89" s="75">
        <f ca="1">IF(E89&lt;&gt;"",'Dados de entrada'!$H$5-E89*'Dados de entrada'!$H$6,"")</f>
        <v>0</v>
      </c>
      <c r="R89" s="71">
        <f ca="1">IF(A89="","",IF(A89='Dados de entrada'!$E$2,PV('Dados de entrada'!$B$6,'Dados de entrada'!$B$10-'Dados de entrada'!$E$2+1,+L89*(-'Dados de entrada'!$E$3),,1)+L89*(1-'Dados de entrada'!$E$3)-M89-N89-P89-Q89,L89-M89-N89-P89-Q89))</f>
        <v>2876.401591182811</v>
      </c>
      <c r="S89" s="74">
        <f t="shared" ca="1" si="21"/>
        <v>2617</v>
      </c>
      <c r="T89" s="67">
        <f ca="1">IF(E89&lt;&gt;"",(-E89)/((1+'Dados de entrada'!$B$6)^(S89/30)),"")</f>
        <v>70.164066336686432</v>
      </c>
      <c r="U89" s="67">
        <f t="shared" ca="1" si="22"/>
        <v>183619.36160310838</v>
      </c>
      <c r="V89" s="71">
        <f ca="1">IF(F89="","",-'Dados de entrada'!$B$2)</f>
        <v>-3000</v>
      </c>
      <c r="X89" s="93">
        <f>+Resumo!$E$12-Resumo!$E$20</f>
        <v>0</v>
      </c>
      <c r="Y89" s="116">
        <f t="shared" si="31"/>
        <v>48829</v>
      </c>
      <c r="Z89" s="81">
        <v>30</v>
      </c>
      <c r="AA89" s="81">
        <f t="shared" ca="1" si="32"/>
        <v>2578</v>
      </c>
      <c r="AB89" s="93">
        <f>IF(A89&lt;='Dados de entrada'!$B$18,'Dados de entrada'!$B$20,0)</f>
        <v>0</v>
      </c>
      <c r="AC89" s="93">
        <f>IF(OR(Resumo!$E$23&gt;0,Resumo!$E$28&gt;0,Resumo!$E$33&gt;0),IF(AND(A89&gt;'Dados de entrada'!$B$18,A89&lt;='Dados de entrada'!$B$10),'Dados de entrada'!$B$21,0),IF(AND(A89&gt;'Dados de entrada'!$B$18,A89&lt;='Dados de entrada'!$B$10),'Dados de entrada'!$B$21,IF(A89&lt;='Dados de entrada'!$B$18,X89,0)))</f>
        <v>3000</v>
      </c>
      <c r="AD89" s="93">
        <f ca="1">AC89/((1+'Dados de entrada'!$D$22)^($AA89/360))</f>
        <v>279.58439975910233</v>
      </c>
      <c r="AE89" s="93">
        <f>IF(A89&lt;='Dados de entrada'!$B$27,'Dados de entrada'!$B$29,0)</f>
        <v>0</v>
      </c>
      <c r="AF89" s="93">
        <f>IF(AND(A89&gt;'Dados de entrada'!$B$27,A89&lt;='Dados de entrada'!$B$10),'Dados de entrada'!$B$30,0)</f>
        <v>0</v>
      </c>
      <c r="AG89" s="93">
        <f ca="1">AF89/((1+'Dados de entrada'!$D$31)^($AA89/360))</f>
        <v>0</v>
      </c>
      <c r="AH89" s="93">
        <f>IF(A89&lt;='Dados de entrada'!$B$36,'Dados de entrada'!$B$38,0)</f>
        <v>0</v>
      </c>
      <c r="AI89" s="93">
        <f>IF(AND(A89&gt;'Dados de entrada'!$B$36,A89&lt;='Dados de entrada'!$B$10),'Dados de entrada'!$B$39,0)</f>
        <v>0</v>
      </c>
      <c r="AJ89" s="93">
        <f ca="1">AI89/((1+'Dados de entrada'!$D$40)^($AA89/360))</f>
        <v>0</v>
      </c>
      <c r="AK89" s="93">
        <f>IF(A89&lt;='Dados de entrada'!$B$45,'Dados de entrada'!$B$47,0)</f>
        <v>0</v>
      </c>
      <c r="AL89" s="93">
        <f>IF(AND(A89&gt;'Dados de entrada'!$B$45,A89&lt;='Dados de entrada'!$B$10),'Dados de entrada'!$B$48,0)</f>
        <v>0</v>
      </c>
      <c r="AM89" s="93">
        <f ca="1">AL89/((1+'Dados de entrada'!$D$49)^($AA89/360))</f>
        <v>0</v>
      </c>
      <c r="AN89" s="85">
        <f t="shared" si="30"/>
        <v>3000</v>
      </c>
    </row>
    <row r="90" spans="1:40">
      <c r="A90" s="69">
        <f>IF(A89="","",IF(A89+1&lt;='Dados de entrada'!$B$10,A89+1,""))</f>
        <v>87</v>
      </c>
      <c r="B90" s="70">
        <f t="shared" si="23"/>
        <v>48859</v>
      </c>
      <c r="C90" s="69">
        <f t="shared" si="24"/>
        <v>30</v>
      </c>
      <c r="D90" s="71">
        <f ca="1">IF(A90="","",F89*(1+'Dados de entrada'!$B$6)^(C90/30))</f>
        <v>14290.751229328571</v>
      </c>
      <c r="E90" s="71">
        <f ca="1">IF(A90="","",-'Dados de entrada'!$J$20)</f>
        <v>-615.26347669246445</v>
      </c>
      <c r="F90" s="71">
        <f t="shared" ca="1" si="25"/>
        <v>13675.487752636107</v>
      </c>
      <c r="G90" s="71">
        <f t="shared" ca="1" si="26"/>
        <v>263.96056186299575</v>
      </c>
      <c r="H90" s="69">
        <f t="shared" ca="1" si="27"/>
        <v>2647</v>
      </c>
      <c r="I90" s="71">
        <f ca="1">IF(A90="","",MIN(H90,365)*G90*'Dados de entrada'!$B$11+G90*'Dados de entrada'!$B$12)</f>
        <v>8.9033897516388461</v>
      </c>
      <c r="J90" s="71">
        <f t="shared" ca="1" si="28"/>
        <v>-3000</v>
      </c>
      <c r="K90" s="71">
        <f t="shared" ca="1" si="29"/>
        <v>-3000</v>
      </c>
      <c r="L90" s="72">
        <f ca="1">IF(A90="","",IF(A90&lt;='Dados de entrada'!$J$2,-V89,-V89*(1-'Dados de entrada'!$J$3)))</f>
        <v>3000</v>
      </c>
      <c r="M90" s="72">
        <f ca="1">IF(A90="","",L90*'Dados de entrada'!$E$4)</f>
        <v>60.599999999999994</v>
      </c>
      <c r="N90" s="72">
        <f ca="1">IF(A90="","",IF(A90&lt;='Dados de entrada'!$E$2,'Dados de entrada'!$E$13*'Dados de entrada'!$E$10/'Dados de entrada'!$B$10,'Dados de entrada'!$E$13*'Dados de entrada'!$E$10/'Dados de entrada'!$B$10*(1-'Dados de entrada'!$E$3)))</f>
        <v>0</v>
      </c>
      <c r="O90" s="71">
        <f ca="1">IF(A90="","",IF(AND(A90='Dados de entrada'!$E$2),(O89*(1+'Dados de entrada'!$B$6)-L90)*(1-'Dados de entrada'!$E$3),IF(AND(A90&lt;&gt;'Dados de entrada'!$A$2),O89*(1+'Dados de entrada'!$B$6)^(C90/30)-L90,"")))</f>
        <v>66681.128999331922</v>
      </c>
      <c r="P90" s="71">
        <f ca="1">IF(A90="","",(O89*((1+'Dados de entrada'!$B$6)^(-DAYS360(B90,B89)/30)-1)-O89*((1+'Dados de entrada'!$H$10)^(-DAYS360(B90,B89)/360)-1))*4.65%)</f>
        <v>61.855885651740778</v>
      </c>
      <c r="Q90" s="75">
        <f ca="1">IF(E90&lt;&gt;"",'Dados de entrada'!$H$5-E90*'Dados de entrada'!$H$6,"")</f>
        <v>0</v>
      </c>
      <c r="R90" s="71">
        <f ca="1">IF(A90="","",IF(A90='Dados de entrada'!$E$2,PV('Dados de entrada'!$B$6,'Dados de entrada'!$B$10-'Dados de entrada'!$E$2+1,+L90*(-'Dados de entrada'!$E$3),,1)+L90*(1-'Dados de entrada'!$E$3)-M90-N90-P90-Q90,L90-M90-N90-P90-Q90))</f>
        <v>2877.5441143482594</v>
      </c>
      <c r="S90" s="74">
        <f t="shared" ca="1" si="21"/>
        <v>2647</v>
      </c>
      <c r="T90" s="67">
        <f ca="1">IF(E90&lt;&gt;"",(-E90)/((1+'Dados de entrada'!$B$6)^(S90/30)),"")</f>
        <v>68.439255609467295</v>
      </c>
      <c r="U90" s="67">
        <f t="shared" ca="1" si="22"/>
        <v>181158.70959825994</v>
      </c>
      <c r="V90" s="71">
        <f ca="1">IF(F90="","",-'Dados de entrada'!$B$2)</f>
        <v>-3000</v>
      </c>
      <c r="X90" s="93">
        <f>+Resumo!$E$12-Resumo!$E$20</f>
        <v>0</v>
      </c>
      <c r="Y90" s="116">
        <f t="shared" si="31"/>
        <v>48859</v>
      </c>
      <c r="Z90" s="81">
        <v>30</v>
      </c>
      <c r="AA90" s="81">
        <f t="shared" ca="1" si="32"/>
        <v>2608</v>
      </c>
      <c r="AB90" s="93">
        <f>IF(A90&lt;='Dados de entrada'!$B$18,'Dados de entrada'!$B$20,0)</f>
        <v>0</v>
      </c>
      <c r="AC90" s="93">
        <f>IF(OR(Resumo!$E$23&gt;0,Resumo!$E$28&gt;0,Resumo!$E$33&gt;0),IF(AND(A90&gt;'Dados de entrada'!$B$18,A90&lt;='Dados de entrada'!$B$10),'Dados de entrada'!$B$21,0),IF(AND(A90&gt;'Dados de entrada'!$B$18,A90&lt;='Dados de entrada'!$B$10),'Dados de entrada'!$B$21,IF(A90&lt;='Dados de entrada'!$B$18,X90,0)))</f>
        <v>3000</v>
      </c>
      <c r="AD90" s="93">
        <f ca="1">AC90/((1+'Dados de entrada'!$D$22)^($AA90/360))</f>
        <v>271.96926046605279</v>
      </c>
      <c r="AE90" s="93">
        <f>IF(A90&lt;='Dados de entrada'!$B$27,'Dados de entrada'!$B$29,0)</f>
        <v>0</v>
      </c>
      <c r="AF90" s="93">
        <f>IF(AND(A90&gt;'Dados de entrada'!$B$27,A90&lt;='Dados de entrada'!$B$10),'Dados de entrada'!$B$30,0)</f>
        <v>0</v>
      </c>
      <c r="AG90" s="93">
        <f ca="1">AF90/((1+'Dados de entrada'!$D$31)^($AA90/360))</f>
        <v>0</v>
      </c>
      <c r="AH90" s="93">
        <f>IF(A90&lt;='Dados de entrada'!$B$36,'Dados de entrada'!$B$38,0)</f>
        <v>0</v>
      </c>
      <c r="AI90" s="93">
        <f>IF(AND(A90&gt;'Dados de entrada'!$B$36,A90&lt;='Dados de entrada'!$B$10),'Dados de entrada'!$B$39,0)</f>
        <v>0</v>
      </c>
      <c r="AJ90" s="93">
        <f ca="1">AI90/((1+'Dados de entrada'!$D$40)^($AA90/360))</f>
        <v>0</v>
      </c>
      <c r="AK90" s="93">
        <f>IF(A90&lt;='Dados de entrada'!$B$45,'Dados de entrada'!$B$47,0)</f>
        <v>0</v>
      </c>
      <c r="AL90" s="93">
        <f>IF(AND(A90&gt;'Dados de entrada'!$B$45,A90&lt;='Dados de entrada'!$B$10),'Dados de entrada'!$B$48,0)</f>
        <v>0</v>
      </c>
      <c r="AM90" s="93">
        <f ca="1">AL90/((1+'Dados de entrada'!$D$49)^($AA90/360))</f>
        <v>0</v>
      </c>
      <c r="AN90" s="85">
        <f t="shared" si="30"/>
        <v>3000</v>
      </c>
    </row>
    <row r="91" spans="1:40">
      <c r="A91" s="69">
        <f>IF(A90="","",IF(A90+1&lt;='Dados de entrada'!$B$10,A90+1,""))</f>
        <v>88</v>
      </c>
      <c r="B91" s="70">
        <f t="shared" si="23"/>
        <v>48890</v>
      </c>
      <c r="C91" s="69">
        <f t="shared" si="24"/>
        <v>30</v>
      </c>
      <c r="D91" s="71">
        <f ca="1">IF(A91="","",F90*(1+'Dados de entrada'!$B$6)^(C91/30))</f>
        <v>14020.138315615606</v>
      </c>
      <c r="E91" s="71">
        <f ca="1">IF(A91="","",-'Dados de entrada'!$J$20)</f>
        <v>-615.26347669246445</v>
      </c>
      <c r="F91" s="71">
        <f t="shared" ca="1" si="25"/>
        <v>13404.874838923142</v>
      </c>
      <c r="G91" s="71">
        <f t="shared" ca="1" si="26"/>
        <v>270.61291371296466</v>
      </c>
      <c r="H91" s="69">
        <f t="shared" ca="1" si="27"/>
        <v>2678</v>
      </c>
      <c r="I91" s="71">
        <f ca="1">IF(A91="","",MIN(H91,365)*G91*'Dados de entrada'!$B$11+G91*'Dados de entrada'!$B$12)</f>
        <v>9.1277735795382977</v>
      </c>
      <c r="J91" s="71">
        <f t="shared" ca="1" si="28"/>
        <v>-3000</v>
      </c>
      <c r="K91" s="71">
        <f t="shared" ca="1" si="29"/>
        <v>-3000</v>
      </c>
      <c r="L91" s="72">
        <f ca="1">IF(A91="","",IF(A91&lt;='Dados de entrada'!$J$2,-V90,-V90*(1-'Dados de entrada'!$J$3)))</f>
        <v>3000</v>
      </c>
      <c r="M91" s="72">
        <f ca="1">IF(A91="","",L91*'Dados de entrada'!$E$4)</f>
        <v>60.599999999999994</v>
      </c>
      <c r="N91" s="72">
        <f ca="1">IF(A91="","",IF(A91&lt;='Dados de entrada'!$E$2,'Dados de entrada'!$E$13*'Dados de entrada'!$E$10/'Dados de entrada'!$B$10,'Dados de entrada'!$E$13*'Dados de entrada'!$E$10/'Dados de entrada'!$B$10*(1-'Dados de entrada'!$E$3)))</f>
        <v>0</v>
      </c>
      <c r="O91" s="71">
        <f ca="1">IF(A91="","",IF(AND(A91='Dados de entrada'!$E$2),(O90*(1+'Dados de entrada'!$B$6)-L91)*(1-'Dados de entrada'!$E$3),IF(AND(A91&lt;&gt;'Dados de entrada'!$A$2),O90*(1+'Dados de entrada'!$B$6)^(C91/30)-L91,"")))</f>
        <v>65361.631301364876</v>
      </c>
      <c r="P91" s="71">
        <f ca="1">IF(A91="","",(O90*((1+'Dados de entrada'!$B$6)^(-DAYS360(B91,B90)/30)-1)-O90*((1+'Dados de entrada'!$H$10)^(-DAYS360(B91,B90)/360)-1))*4.65%)</f>
        <v>60.684568540561834</v>
      </c>
      <c r="Q91" s="75">
        <f ca="1">IF(E91&lt;&gt;"",'Dados de entrada'!$H$5-E91*'Dados de entrada'!$H$6,"")</f>
        <v>0</v>
      </c>
      <c r="R91" s="71">
        <f ca="1">IF(A91="","",IF(A91='Dados de entrada'!$E$2,PV('Dados de entrada'!$B$6,'Dados de entrada'!$B$10-'Dados de entrada'!$E$2+1,+L91*(-'Dados de entrada'!$E$3),,1)+L91*(1-'Dados de entrada'!$E$3)-M91-N91-P91-Q91,L91-M91-N91-P91-Q91))</f>
        <v>2878.7154314594382</v>
      </c>
      <c r="S91" s="74">
        <f t="shared" ca="1" si="21"/>
        <v>2678</v>
      </c>
      <c r="T91" s="67">
        <f ca="1">IF(E91&lt;&gt;"",(-E91)/((1+'Dados de entrada'!$B$6)^(S91/30)),"")</f>
        <v>66.701482741306478</v>
      </c>
      <c r="U91" s="67">
        <f t="shared" ca="1" si="22"/>
        <v>178626.57078121876</v>
      </c>
      <c r="V91" s="71">
        <f ca="1">IF(F91="","",-'Dados de entrada'!$B$2)</f>
        <v>-3000</v>
      </c>
      <c r="X91" s="93">
        <f>+Resumo!$E$12-Resumo!$E$20</f>
        <v>0</v>
      </c>
      <c r="Y91" s="116">
        <f t="shared" si="31"/>
        <v>48890</v>
      </c>
      <c r="Z91" s="81">
        <v>30</v>
      </c>
      <c r="AA91" s="81">
        <f t="shared" ca="1" si="32"/>
        <v>2638</v>
      </c>
      <c r="AB91" s="93">
        <f>IF(A91&lt;='Dados de entrada'!$B$18,'Dados de entrada'!$B$20,0)</f>
        <v>0</v>
      </c>
      <c r="AC91" s="93">
        <f>IF(OR(Resumo!$E$23&gt;0,Resumo!$E$28&gt;0,Resumo!$E$33&gt;0),IF(AND(A91&gt;'Dados de entrada'!$B$18,A91&lt;='Dados de entrada'!$B$10),'Dados de entrada'!$B$21,0),IF(AND(A91&gt;'Dados de entrada'!$B$18,A91&lt;='Dados de entrada'!$B$10),'Dados de entrada'!$B$21,IF(A91&lt;='Dados de entrada'!$B$18,X91,0)))</f>
        <v>3000</v>
      </c>
      <c r="AD91" s="93">
        <f ca="1">AC91/((1+'Dados de entrada'!$D$22)^($AA91/360))</f>
        <v>264.56153741833936</v>
      </c>
      <c r="AE91" s="93">
        <f>IF(A91&lt;='Dados de entrada'!$B$27,'Dados de entrada'!$B$29,0)</f>
        <v>0</v>
      </c>
      <c r="AF91" s="93">
        <f>IF(AND(A91&gt;'Dados de entrada'!$B$27,A91&lt;='Dados de entrada'!$B$10),'Dados de entrada'!$B$30,0)</f>
        <v>0</v>
      </c>
      <c r="AG91" s="93">
        <f ca="1">AF91/((1+'Dados de entrada'!$D$31)^($AA91/360))</f>
        <v>0</v>
      </c>
      <c r="AH91" s="93">
        <f>IF(A91&lt;='Dados de entrada'!$B$36,'Dados de entrada'!$B$38,0)</f>
        <v>0</v>
      </c>
      <c r="AI91" s="93">
        <f>IF(AND(A91&gt;'Dados de entrada'!$B$36,A91&lt;='Dados de entrada'!$B$10),'Dados de entrada'!$B$39,0)</f>
        <v>0</v>
      </c>
      <c r="AJ91" s="93">
        <f ca="1">AI91/((1+'Dados de entrada'!$D$40)^($AA91/360))</f>
        <v>0</v>
      </c>
      <c r="AK91" s="93">
        <f>IF(A91&lt;='Dados de entrada'!$B$45,'Dados de entrada'!$B$47,0)</f>
        <v>0</v>
      </c>
      <c r="AL91" s="93">
        <f>IF(AND(A91&gt;'Dados de entrada'!$B$45,A91&lt;='Dados de entrada'!$B$10),'Dados de entrada'!$B$48,0)</f>
        <v>0</v>
      </c>
      <c r="AM91" s="93">
        <f ca="1">AL91/((1+'Dados de entrada'!$D$49)^($AA91/360))</f>
        <v>0</v>
      </c>
      <c r="AN91" s="85">
        <f t="shared" si="30"/>
        <v>3000</v>
      </c>
    </row>
    <row r="92" spans="1:40">
      <c r="A92" s="69">
        <f>IF(A91="","",IF(A91+1&lt;='Dados de entrada'!$B$10,A91+1,""))</f>
        <v>89</v>
      </c>
      <c r="B92" s="70">
        <f t="shared" si="23"/>
        <v>48920</v>
      </c>
      <c r="C92" s="69">
        <f t="shared" si="24"/>
        <v>30</v>
      </c>
      <c r="D92" s="71">
        <f ca="1">IF(A92="","",F91*(1+'Dados de entrada'!$B$6)^(C92/30))</f>
        <v>13742.705397033513</v>
      </c>
      <c r="E92" s="71">
        <f ca="1">IF(A92="","",-'Dados de entrada'!$J$20)</f>
        <v>-615.26347669246445</v>
      </c>
      <c r="F92" s="71">
        <f t="shared" ca="1" si="25"/>
        <v>13127.441920341049</v>
      </c>
      <c r="G92" s="71">
        <f t="shared" ca="1" si="26"/>
        <v>277.43291858209341</v>
      </c>
      <c r="H92" s="69">
        <f t="shared" ca="1" si="27"/>
        <v>2708</v>
      </c>
      <c r="I92" s="71">
        <f ca="1">IF(A92="","",MIN(H92,365)*G92*'Dados de entrada'!$B$11+G92*'Dados de entrada'!$B$12)</f>
        <v>9.3578123437740111</v>
      </c>
      <c r="J92" s="71">
        <f t="shared" ca="1" si="28"/>
        <v>-3000</v>
      </c>
      <c r="K92" s="71">
        <f t="shared" ca="1" si="29"/>
        <v>-3000</v>
      </c>
      <c r="L92" s="72">
        <f ca="1">IF(A92="","",IF(A92&lt;='Dados de entrada'!$J$2,-V91,-V91*(1-'Dados de entrada'!$J$3)))</f>
        <v>3000</v>
      </c>
      <c r="M92" s="72">
        <f ca="1">IF(A92="","",L92*'Dados de entrada'!$E$4)</f>
        <v>60.599999999999994</v>
      </c>
      <c r="N92" s="72">
        <f ca="1">IF(A92="","",IF(A92&lt;='Dados de entrada'!$E$2,'Dados de entrada'!$E$13*'Dados de entrada'!$E$10/'Dados de entrada'!$B$10,'Dados de entrada'!$E$13*'Dados de entrada'!$E$10/'Dados de entrada'!$B$10*(1-'Dados de entrada'!$E$3)))</f>
        <v>0</v>
      </c>
      <c r="O92" s="71">
        <f ca="1">IF(A92="","",IF(AND(A92='Dados de entrada'!$E$2),(O91*(1+'Dados de entrada'!$B$6)-L92)*(1-'Dados de entrada'!$E$3),IF(AND(A92&lt;&gt;'Dados de entrada'!$A$2),O91*(1+'Dados de entrada'!$B$6)^(C92/30)-L92,"")))</f>
        <v>64008.87953358471</v>
      </c>
      <c r="P92" s="71">
        <f ca="1">IF(A92="","",(O91*((1+'Dados de entrada'!$B$6)^(-DAYS360(B92,B91)/30)-1)-O91*((1+'Dados de entrada'!$H$10)^(-DAYS360(B92,B91)/360)-1))*4.65%)</f>
        <v>59.48373181669357</v>
      </c>
      <c r="Q92" s="75">
        <f ca="1">IF(E92&lt;&gt;"",'Dados de entrada'!$H$5-E92*'Dados de entrada'!$H$6,"")</f>
        <v>0</v>
      </c>
      <c r="R92" s="71">
        <f ca="1">IF(A92="","",IF(A92='Dados de entrada'!$E$2,PV('Dados de entrada'!$B$6,'Dados de entrada'!$B$10-'Dados de entrada'!$E$2+1,+L92*(-'Dados de entrada'!$E$3),,1)+L92*(1-'Dados de entrada'!$E$3)-M92-N92-P92-Q92,L92-M92-N92-P92-Q92))</f>
        <v>2879.9162681833063</v>
      </c>
      <c r="S92" s="74">
        <f t="shared" ca="1" si="21"/>
        <v>2708</v>
      </c>
      <c r="T92" s="67">
        <f ca="1">IF(E92&lt;&gt;"",(-E92)/((1+'Dados de entrada'!$B$6)^(S92/30)),"")</f>
        <v>65.061791101976951</v>
      </c>
      <c r="U92" s="67">
        <f t="shared" ca="1" si="22"/>
        <v>176187.33030415358</v>
      </c>
      <c r="V92" s="71">
        <f ca="1">IF(F92="","",-'Dados de entrada'!$B$2)</f>
        <v>-3000</v>
      </c>
      <c r="X92" s="93">
        <f>+Resumo!$E$12-Resumo!$E$20</f>
        <v>0</v>
      </c>
      <c r="Y92" s="116">
        <f t="shared" si="31"/>
        <v>48920</v>
      </c>
      <c r="Z92" s="81">
        <v>30</v>
      </c>
      <c r="AA92" s="81">
        <f t="shared" ca="1" si="32"/>
        <v>2668</v>
      </c>
      <c r="AB92" s="93">
        <f>IF(A92&lt;='Dados de entrada'!$B$18,'Dados de entrada'!$B$20,0)</f>
        <v>0</v>
      </c>
      <c r="AC92" s="93">
        <f>IF(OR(Resumo!$E$23&gt;0,Resumo!$E$28&gt;0,Resumo!$E$33&gt;0),IF(AND(A92&gt;'Dados de entrada'!$B$18,A92&lt;='Dados de entrada'!$B$10),'Dados de entrada'!$B$21,0),IF(AND(A92&gt;'Dados de entrada'!$B$18,A92&lt;='Dados de entrada'!$B$10),'Dados de entrada'!$B$21,IF(A92&lt;='Dados de entrada'!$B$18,X92,0)))</f>
        <v>3000</v>
      </c>
      <c r="AD92" s="93">
        <f ca="1">AC92/((1+'Dados de entrada'!$D$22)^($AA92/360))</f>
        <v>257.35558114624445</v>
      </c>
      <c r="AE92" s="93">
        <f>IF(A92&lt;='Dados de entrada'!$B$27,'Dados de entrada'!$B$29,0)</f>
        <v>0</v>
      </c>
      <c r="AF92" s="93">
        <f>IF(AND(A92&gt;'Dados de entrada'!$B$27,A92&lt;='Dados de entrada'!$B$10),'Dados de entrada'!$B$30,0)</f>
        <v>0</v>
      </c>
      <c r="AG92" s="93">
        <f ca="1">AF92/((1+'Dados de entrada'!$D$31)^($AA92/360))</f>
        <v>0</v>
      </c>
      <c r="AH92" s="93">
        <f>IF(A92&lt;='Dados de entrada'!$B$36,'Dados de entrada'!$B$38,0)</f>
        <v>0</v>
      </c>
      <c r="AI92" s="93">
        <f>IF(AND(A92&gt;'Dados de entrada'!$B$36,A92&lt;='Dados de entrada'!$B$10),'Dados de entrada'!$B$39,0)</f>
        <v>0</v>
      </c>
      <c r="AJ92" s="93">
        <f ca="1">AI92/((1+'Dados de entrada'!$D$40)^($AA92/360))</f>
        <v>0</v>
      </c>
      <c r="AK92" s="93">
        <f>IF(A92&lt;='Dados de entrada'!$B$45,'Dados de entrada'!$B$47,0)</f>
        <v>0</v>
      </c>
      <c r="AL92" s="93">
        <f>IF(AND(A92&gt;'Dados de entrada'!$B$45,A92&lt;='Dados de entrada'!$B$10),'Dados de entrada'!$B$48,0)</f>
        <v>0</v>
      </c>
      <c r="AM92" s="93">
        <f ca="1">AL92/((1+'Dados de entrada'!$D$49)^($AA92/360))</f>
        <v>0</v>
      </c>
      <c r="AN92" s="85">
        <f t="shared" si="30"/>
        <v>3000</v>
      </c>
    </row>
    <row r="93" spans="1:40">
      <c r="A93" s="69">
        <f>IF(A92="","",IF(A92+1&lt;='Dados de entrada'!$B$10,A92+1,""))</f>
        <v>90</v>
      </c>
      <c r="B93" s="70">
        <f t="shared" si="23"/>
        <v>48951</v>
      </c>
      <c r="C93" s="69">
        <f t="shared" si="24"/>
        <v>30</v>
      </c>
      <c r="D93" s="71">
        <f ca="1">IF(A93="","",F92*(1+'Dados de entrada'!$B$6)^(C93/30))</f>
        <v>13458.280595360453</v>
      </c>
      <c r="E93" s="71">
        <f ca="1">IF(A93="","",-'Dados de entrada'!$J$20)</f>
        <v>-615.26347669246445</v>
      </c>
      <c r="F93" s="71">
        <f t="shared" ca="1" si="25"/>
        <v>12843.017118667989</v>
      </c>
      <c r="G93" s="71">
        <f t="shared" ca="1" si="26"/>
        <v>284.42480167305985</v>
      </c>
      <c r="H93" s="69">
        <f t="shared" ca="1" si="27"/>
        <v>2739</v>
      </c>
      <c r="I93" s="71">
        <f ca="1">IF(A93="","",MIN(H93,365)*G93*'Dados de entrada'!$B$11+G93*'Dados de entrada'!$B$12)</f>
        <v>9.5936485604323085</v>
      </c>
      <c r="J93" s="71">
        <f t="shared" ca="1" si="28"/>
        <v>-3000</v>
      </c>
      <c r="K93" s="71">
        <f t="shared" ca="1" si="29"/>
        <v>-3000</v>
      </c>
      <c r="L93" s="72">
        <f ca="1">IF(A93="","",IF(A93&lt;='Dados de entrada'!$J$2,-V92,-V92*(1-'Dados de entrada'!$J$3)))</f>
        <v>3000</v>
      </c>
      <c r="M93" s="72">
        <f ca="1">IF(A93="","",L93*'Dados de entrada'!$E$4)</f>
        <v>60.599999999999994</v>
      </c>
      <c r="N93" s="72">
        <f ca="1">IF(A93="","",IF(A93&lt;='Dados de entrada'!$E$2,'Dados de entrada'!$E$13*'Dados de entrada'!$E$10/'Dados de entrada'!$B$10,'Dados de entrada'!$E$13*'Dados de entrada'!$E$10/'Dados de entrada'!$B$10*(1-'Dados de entrada'!$E$3)))</f>
        <v>0</v>
      </c>
      <c r="O93" s="71">
        <f ca="1">IF(A93="","",IF(AND(A93='Dados de entrada'!$E$2),(O92*(1+'Dados de entrada'!$B$6)-L93)*(1-'Dados de entrada'!$E$3),IF(AND(A93&lt;&gt;'Dados de entrada'!$A$2),O92*(1+'Dados de entrada'!$B$6)^(C93/30)-L93,"")))</f>
        <v>62622.035624685333</v>
      </c>
      <c r="P93" s="71">
        <f ca="1">IF(A93="","",(O92*((1+'Dados de entrada'!$B$6)^(-DAYS360(B93,B92)/30)-1)-O92*((1+'Dados de entrada'!$H$10)^(-DAYS360(B93,B92)/360)-1))*4.65%)</f>
        <v>58.252631524869706</v>
      </c>
      <c r="Q93" s="75">
        <f ca="1">IF(E93&lt;&gt;"",'Dados de entrada'!$H$5-E93*'Dados de entrada'!$H$6,"")</f>
        <v>0</v>
      </c>
      <c r="R93" s="71">
        <f ca="1">IF(A93="","",IF(A93='Dados de entrada'!$E$2,PV('Dados de entrada'!$B$6,'Dados de entrada'!$B$10-'Dados de entrada'!$E$2+1,+L93*(-'Dados de entrada'!$E$3),,1)+L93*(1-'Dados de entrada'!$E$3)-M93-N93-P93-Q93,L93-M93-N93-P93-Q93))</f>
        <v>2881.1473684751304</v>
      </c>
      <c r="S93" s="74">
        <f t="shared" ca="1" si="21"/>
        <v>2739</v>
      </c>
      <c r="T93" s="67">
        <f ca="1">IF(E93&lt;&gt;"",(-E93)/((1+'Dados de entrada'!$B$6)^(S93/30)),"")</f>
        <v>63.409777000945084</v>
      </c>
      <c r="U93" s="67">
        <f t="shared" ca="1" si="22"/>
        <v>173679.37920558857</v>
      </c>
      <c r="V93" s="71">
        <f ca="1">IF(F93="","",-'Dados de entrada'!$B$2)</f>
        <v>-3000</v>
      </c>
      <c r="X93" s="93">
        <f>+Resumo!$E$12-Resumo!$E$20</f>
        <v>0</v>
      </c>
      <c r="Y93" s="116">
        <f t="shared" si="31"/>
        <v>48951</v>
      </c>
      <c r="Z93" s="81">
        <v>30</v>
      </c>
      <c r="AA93" s="81">
        <f t="shared" ca="1" si="32"/>
        <v>2698</v>
      </c>
      <c r="AB93" s="93">
        <f>IF(A93&lt;='Dados de entrada'!$B$18,'Dados de entrada'!$B$20,0)</f>
        <v>0</v>
      </c>
      <c r="AC93" s="93">
        <f>IF(OR(Resumo!$E$23&gt;0,Resumo!$E$28&gt;0,Resumo!$E$33&gt;0),IF(AND(A93&gt;'Dados de entrada'!$B$18,A93&lt;='Dados de entrada'!$B$10),'Dados de entrada'!$B$21,0),IF(AND(A93&gt;'Dados de entrada'!$B$18,A93&lt;='Dados de entrada'!$B$10),'Dados de entrada'!$B$21,IF(A93&lt;='Dados de entrada'!$B$18,X93,0)))</f>
        <v>3000</v>
      </c>
      <c r="AD93" s="93">
        <f ca="1">AC93/((1+'Dados de entrada'!$D$22)^($AA93/360))</f>
        <v>250.34589605665803</v>
      </c>
      <c r="AE93" s="93">
        <f>IF(A93&lt;='Dados de entrada'!$B$27,'Dados de entrada'!$B$29,0)</f>
        <v>0</v>
      </c>
      <c r="AF93" s="93">
        <f>IF(AND(A93&gt;'Dados de entrada'!$B$27,A93&lt;='Dados de entrada'!$B$10),'Dados de entrada'!$B$30,0)</f>
        <v>0</v>
      </c>
      <c r="AG93" s="93">
        <f ca="1">AF93/((1+'Dados de entrada'!$D$31)^($AA93/360))</f>
        <v>0</v>
      </c>
      <c r="AH93" s="93">
        <f>IF(A93&lt;='Dados de entrada'!$B$36,'Dados de entrada'!$B$38,0)</f>
        <v>0</v>
      </c>
      <c r="AI93" s="93">
        <f>IF(AND(A93&gt;'Dados de entrada'!$B$36,A93&lt;='Dados de entrada'!$B$10),'Dados de entrada'!$B$39,0)</f>
        <v>0</v>
      </c>
      <c r="AJ93" s="93">
        <f ca="1">AI93/((1+'Dados de entrada'!$D$40)^($AA93/360))</f>
        <v>0</v>
      </c>
      <c r="AK93" s="93">
        <f>IF(A93&lt;='Dados de entrada'!$B$45,'Dados de entrada'!$B$47,0)</f>
        <v>0</v>
      </c>
      <c r="AL93" s="93">
        <f>IF(AND(A93&gt;'Dados de entrada'!$B$45,A93&lt;='Dados de entrada'!$B$10),'Dados de entrada'!$B$48,0)</f>
        <v>0</v>
      </c>
      <c r="AM93" s="93">
        <f ca="1">AL93/((1+'Dados de entrada'!$D$49)^($AA93/360))</f>
        <v>0</v>
      </c>
      <c r="AN93" s="85">
        <f t="shared" si="30"/>
        <v>3000</v>
      </c>
    </row>
    <row r="94" spans="1:40">
      <c r="A94" s="69">
        <f>IF(A93="","",IF(A93+1&lt;='Dados de entrada'!$B$10,A93+1,""))</f>
        <v>91</v>
      </c>
      <c r="B94" s="70">
        <f t="shared" si="23"/>
        <v>48982</v>
      </c>
      <c r="C94" s="69">
        <f t="shared" si="24"/>
        <v>30</v>
      </c>
      <c r="D94" s="71">
        <f ca="1">IF(A94="","",F93*(1+'Dados de entrada'!$B$6)^(C94/30))</f>
        <v>13166.687700688073</v>
      </c>
      <c r="E94" s="71">
        <f ca="1">IF(A94="","",-'Dados de entrada'!$J$20)</f>
        <v>-615.26347669246445</v>
      </c>
      <c r="F94" s="71">
        <f t="shared" ca="1" si="25"/>
        <v>12551.424223995609</v>
      </c>
      <c r="G94" s="71">
        <f t="shared" ca="1" si="26"/>
        <v>291.59289467237977</v>
      </c>
      <c r="H94" s="69">
        <f t="shared" ca="1" si="27"/>
        <v>2770</v>
      </c>
      <c r="I94" s="71">
        <f ca="1">IF(A94="","",MIN(H94,365)*G94*'Dados de entrada'!$B$11+G94*'Dados de entrada'!$B$12)</f>
        <v>9.8354283372993709</v>
      </c>
      <c r="J94" s="71">
        <f t="shared" ca="1" si="28"/>
        <v>-3000</v>
      </c>
      <c r="K94" s="71">
        <f t="shared" ca="1" si="29"/>
        <v>-3000</v>
      </c>
      <c r="L94" s="72">
        <f ca="1">IF(A94="","",IF(A94&lt;='Dados de entrada'!$J$2,-V93,-V93*(1-'Dados de entrada'!$J$3)))</f>
        <v>3000</v>
      </c>
      <c r="M94" s="72">
        <f ca="1">IF(A94="","",L94*'Dados de entrada'!$E$4)</f>
        <v>60.599999999999994</v>
      </c>
      <c r="N94" s="72">
        <f ca="1">IF(A94="","",IF(A94&lt;='Dados de entrada'!$E$2,'Dados de entrada'!$E$13*'Dados de entrada'!$E$10/'Dados de entrada'!$B$10,'Dados de entrada'!$E$13*'Dados de entrada'!$E$10/'Dados de entrada'!$B$10*(1-'Dados de entrada'!$E$3)))</f>
        <v>0</v>
      </c>
      <c r="O94" s="71">
        <f ca="1">IF(A94="","",IF(AND(A94='Dados de entrada'!$E$2),(O93*(1+'Dados de entrada'!$B$6)-L94)*(1-'Dados de entrada'!$E$3),IF(AND(A94&lt;&gt;'Dados de entrada'!$A$2),O93*(1+'Dados de entrada'!$B$6)^(C94/30)-L94,"")))</f>
        <v>61200.240382231168</v>
      </c>
      <c r="P94" s="71">
        <f ca="1">IF(A94="","",(O93*((1+'Dados de entrada'!$B$6)^(-DAYS360(B94,B93)/30)-1)-O93*((1+'Dados de entrada'!$H$10)^(-DAYS360(B94,B93)/360)-1))*4.65%)</f>
        <v>56.990504960613315</v>
      </c>
      <c r="Q94" s="75">
        <f ca="1">IF(E94&lt;&gt;"",'Dados de entrada'!$H$5-E94*'Dados de entrada'!$H$6,"")</f>
        <v>0</v>
      </c>
      <c r="R94" s="71">
        <f ca="1">IF(A94="","",IF(A94='Dados de entrada'!$E$2,PV('Dados de entrada'!$B$6,'Dados de entrada'!$B$10-'Dados de entrada'!$E$2+1,+L94*(-'Dados de entrada'!$E$3),,1)+L94*(1-'Dados de entrada'!$E$3)-M94-N94-P94-Q94,L94-M94-N94-P94-Q94))</f>
        <v>2882.4094950393869</v>
      </c>
      <c r="S94" s="74">
        <f t="shared" ca="1" si="21"/>
        <v>2770</v>
      </c>
      <c r="T94" s="67">
        <f ca="1">IF(E94&lt;&gt;"",(-E94)/((1+'Dados de entrada'!$B$6)^(S94/30)),"")</f>
        <v>61.799709955839361</v>
      </c>
      <c r="U94" s="67">
        <f t="shared" ca="1" si="22"/>
        <v>171185.19657767503</v>
      </c>
      <c r="V94" s="71">
        <f ca="1">IF(F94="","",-'Dados de entrada'!$B$2)</f>
        <v>-3000</v>
      </c>
      <c r="X94" s="93">
        <f>+Resumo!$E$12-Resumo!$E$20</f>
        <v>0</v>
      </c>
      <c r="Y94" s="116">
        <f t="shared" si="31"/>
        <v>48982</v>
      </c>
      <c r="Z94" s="81">
        <v>30</v>
      </c>
      <c r="AA94" s="81">
        <f t="shared" ca="1" si="32"/>
        <v>2728</v>
      </c>
      <c r="AB94" s="93">
        <f>IF(A94&lt;='Dados de entrada'!$B$18,'Dados de entrada'!$B$20,0)</f>
        <v>0</v>
      </c>
      <c r="AC94" s="93">
        <f>IF(OR(Resumo!$E$23&gt;0,Resumo!$E$28&gt;0,Resumo!$E$33&gt;0),IF(AND(A94&gt;'Dados de entrada'!$B$18,A94&lt;='Dados de entrada'!$B$10),'Dados de entrada'!$B$21,0),IF(AND(A94&gt;'Dados de entrada'!$B$18,A94&lt;='Dados de entrada'!$B$10),'Dados de entrada'!$B$21,IF(A94&lt;='Dados de entrada'!$B$18,X94,0)))</f>
        <v>3000</v>
      </c>
      <c r="AD94" s="93">
        <f ca="1">AC94/((1+'Dados de entrada'!$D$22)^($AA94/360))</f>
        <v>243.52713624188533</v>
      </c>
      <c r="AE94" s="93">
        <f>IF(A94&lt;='Dados de entrada'!$B$27,'Dados de entrada'!$B$29,0)</f>
        <v>0</v>
      </c>
      <c r="AF94" s="93">
        <f>IF(AND(A94&gt;'Dados de entrada'!$B$27,A94&lt;='Dados de entrada'!$B$10),'Dados de entrada'!$B$30,0)</f>
        <v>0</v>
      </c>
      <c r="AG94" s="93">
        <f ca="1">AF94/((1+'Dados de entrada'!$D$31)^($AA94/360))</f>
        <v>0</v>
      </c>
      <c r="AH94" s="93">
        <f>IF(A94&lt;='Dados de entrada'!$B$36,'Dados de entrada'!$B$38,0)</f>
        <v>0</v>
      </c>
      <c r="AI94" s="93">
        <f>IF(AND(A94&gt;'Dados de entrada'!$B$36,A94&lt;='Dados de entrada'!$B$10),'Dados de entrada'!$B$39,0)</f>
        <v>0</v>
      </c>
      <c r="AJ94" s="93">
        <f ca="1">AI94/((1+'Dados de entrada'!$D$40)^($AA94/360))</f>
        <v>0</v>
      </c>
      <c r="AK94" s="93">
        <f>IF(A94&lt;='Dados de entrada'!$B$45,'Dados de entrada'!$B$47,0)</f>
        <v>0</v>
      </c>
      <c r="AL94" s="93">
        <f>IF(AND(A94&gt;'Dados de entrada'!$B$45,A94&lt;='Dados de entrada'!$B$10),'Dados de entrada'!$B$48,0)</f>
        <v>0</v>
      </c>
      <c r="AM94" s="93">
        <f ca="1">AL94/((1+'Dados de entrada'!$D$49)^($AA94/360))</f>
        <v>0</v>
      </c>
      <c r="AN94" s="85">
        <f t="shared" si="30"/>
        <v>3000</v>
      </c>
    </row>
    <row r="95" spans="1:40">
      <c r="A95" s="69">
        <f>IF(A94="","",IF(A94+1&lt;='Dados de entrada'!$B$10,A94+1,""))</f>
        <v>92</v>
      </c>
      <c r="B95" s="70">
        <f t="shared" si="23"/>
        <v>49010</v>
      </c>
      <c r="C95" s="69">
        <f t="shared" si="24"/>
        <v>30</v>
      </c>
      <c r="D95" s="71">
        <f ca="1">IF(A95="","",F94*(1+'Dados de entrada'!$B$6)^(C95/30))</f>
        <v>12867.746062254048</v>
      </c>
      <c r="E95" s="71">
        <f ca="1">IF(A95="","",-'Dados de entrada'!$J$20)</f>
        <v>-615.26347669246445</v>
      </c>
      <c r="F95" s="71">
        <f t="shared" ca="1" si="25"/>
        <v>12252.482585561584</v>
      </c>
      <c r="G95" s="71">
        <f t="shared" ca="1" si="26"/>
        <v>298.94163843402566</v>
      </c>
      <c r="H95" s="69">
        <f t="shared" ca="1" si="27"/>
        <v>2798</v>
      </c>
      <c r="I95" s="71">
        <f ca="1">IF(A95="","",MIN(H95,365)*G95*'Dados de entrada'!$B$11+G95*'Dados de entrada'!$B$12)</f>
        <v>10.083301464379687</v>
      </c>
      <c r="J95" s="71">
        <f t="shared" ca="1" si="28"/>
        <v>-3000</v>
      </c>
      <c r="K95" s="71">
        <f t="shared" ca="1" si="29"/>
        <v>-3000</v>
      </c>
      <c r="L95" s="72">
        <f ca="1">IF(A95="","",IF(A95&lt;='Dados de entrada'!$J$2,-V94,-V94*(1-'Dados de entrada'!$J$3)))</f>
        <v>3000</v>
      </c>
      <c r="M95" s="72">
        <f ca="1">IF(A95="","",L95*'Dados de entrada'!$E$4)</f>
        <v>60.599999999999994</v>
      </c>
      <c r="N95" s="72">
        <f ca="1">IF(A95="","",IF(A95&lt;='Dados de entrada'!$E$2,'Dados de entrada'!$E$13*'Dados de entrada'!$E$10/'Dados de entrada'!$B$10,'Dados de entrada'!$E$13*'Dados de entrada'!$E$10/'Dados de entrada'!$B$10*(1-'Dados de entrada'!$E$3)))</f>
        <v>0</v>
      </c>
      <c r="O95" s="71">
        <f ca="1">IF(A95="","",IF(AND(A95='Dados de entrada'!$E$2),(O94*(1+'Dados de entrada'!$B$6)-L95)*(1-'Dados de entrada'!$E$3),IF(AND(A95&lt;&gt;'Dados de entrada'!$A$2),O94*(1+'Dados de entrada'!$B$6)^(C95/30)-L95,"")))</f>
        <v>59742.612960361024</v>
      </c>
      <c r="P95" s="71">
        <f ca="1">IF(A95="","",(O94*((1+'Dados de entrada'!$B$6)^(-DAYS360(B95,B94)/30)-1)-O94*((1+'Dados de entrada'!$H$10)^(-DAYS360(B95,B94)/360)-1))*4.65%)</f>
        <v>55.696570197717811</v>
      </c>
      <c r="Q95" s="75">
        <f ca="1">IF(E95&lt;&gt;"",'Dados de entrada'!$H$5-E95*'Dados de entrada'!$H$6,"")</f>
        <v>0</v>
      </c>
      <c r="R95" s="71">
        <f ca="1">IF(A95="","",IF(A95='Dados de entrada'!$E$2,PV('Dados de entrada'!$B$6,'Dados de entrada'!$B$10-'Dados de entrada'!$E$2+1,+L95*(-'Dados de entrada'!$E$3),,1)+L95*(1-'Dados de entrada'!$E$3)-M95-N95-P95-Q95,L95-M95-N95-P95-Q95))</f>
        <v>2883.7034298022822</v>
      </c>
      <c r="S95" s="74">
        <f t="shared" ca="1" si="21"/>
        <v>2798</v>
      </c>
      <c r="T95" s="67">
        <f ca="1">IF(E95&lt;&gt;"",(-E95)/((1+'Dados de entrada'!$B$6)^(S95/30)),"")</f>
        <v>60.380623750356335</v>
      </c>
      <c r="U95" s="67">
        <f t="shared" ca="1" si="22"/>
        <v>168944.98525349703</v>
      </c>
      <c r="V95" s="71">
        <f ca="1">IF(F95="","",-'Dados de entrada'!$B$2)</f>
        <v>-3000</v>
      </c>
      <c r="X95" s="93">
        <f>+Resumo!$E$12-Resumo!$E$20</f>
        <v>0</v>
      </c>
      <c r="Y95" s="116">
        <f t="shared" si="31"/>
        <v>49010</v>
      </c>
      <c r="Z95" s="81">
        <v>30</v>
      </c>
      <c r="AA95" s="81">
        <f t="shared" ca="1" si="32"/>
        <v>2758</v>
      </c>
      <c r="AB95" s="93">
        <f>IF(A95&lt;='Dados de entrada'!$B$18,'Dados de entrada'!$B$20,0)</f>
        <v>0</v>
      </c>
      <c r="AC95" s="93">
        <f>IF(OR(Resumo!$E$23&gt;0,Resumo!$E$28&gt;0,Resumo!$E$33&gt;0),IF(AND(A95&gt;'Dados de entrada'!$B$18,A95&lt;='Dados de entrada'!$B$10),'Dados de entrada'!$B$21,0),IF(AND(A95&gt;'Dados de entrada'!$B$18,A95&lt;='Dados de entrada'!$B$10),'Dados de entrada'!$B$21,IF(A95&lt;='Dados de entrada'!$B$18,X95,0)))</f>
        <v>3000</v>
      </c>
      <c r="AD95" s="93">
        <f ca="1">AC95/((1+'Dados de entrada'!$D$22)^($AA95/360))</f>
        <v>236.89410140261214</v>
      </c>
      <c r="AE95" s="93">
        <f>IF(A95&lt;='Dados de entrada'!$B$27,'Dados de entrada'!$B$29,0)</f>
        <v>0</v>
      </c>
      <c r="AF95" s="93">
        <f>IF(AND(A95&gt;'Dados de entrada'!$B$27,A95&lt;='Dados de entrada'!$B$10),'Dados de entrada'!$B$30,0)</f>
        <v>0</v>
      </c>
      <c r="AG95" s="93">
        <f ca="1">AF95/((1+'Dados de entrada'!$D$31)^($AA95/360))</f>
        <v>0</v>
      </c>
      <c r="AH95" s="93">
        <f>IF(A95&lt;='Dados de entrada'!$B$36,'Dados de entrada'!$B$38,0)</f>
        <v>0</v>
      </c>
      <c r="AI95" s="93">
        <f>IF(AND(A95&gt;'Dados de entrada'!$B$36,A95&lt;='Dados de entrada'!$B$10),'Dados de entrada'!$B$39,0)</f>
        <v>0</v>
      </c>
      <c r="AJ95" s="93">
        <f ca="1">AI95/((1+'Dados de entrada'!$D$40)^($AA95/360))</f>
        <v>0</v>
      </c>
      <c r="AK95" s="93">
        <f>IF(A95&lt;='Dados de entrada'!$B$45,'Dados de entrada'!$B$47,0)</f>
        <v>0</v>
      </c>
      <c r="AL95" s="93">
        <f>IF(AND(A95&gt;'Dados de entrada'!$B$45,A95&lt;='Dados de entrada'!$B$10),'Dados de entrada'!$B$48,0)</f>
        <v>0</v>
      </c>
      <c r="AM95" s="93">
        <f ca="1">AL95/((1+'Dados de entrada'!$D$49)^($AA95/360))</f>
        <v>0</v>
      </c>
      <c r="AN95" s="85">
        <f t="shared" si="30"/>
        <v>3000</v>
      </c>
    </row>
    <row r="96" spans="1:40">
      <c r="A96" s="69">
        <f>IF(A95="","",IF(A95+1&lt;='Dados de entrada'!$B$10,A95+1,""))</f>
        <v>93</v>
      </c>
      <c r="B96" s="70">
        <f t="shared" si="23"/>
        <v>49041</v>
      </c>
      <c r="C96" s="69">
        <f t="shared" si="24"/>
        <v>30</v>
      </c>
      <c r="D96" s="71">
        <f ca="1">IF(A96="","",F95*(1+'Dados de entrada'!$B$6)^(C96/30))</f>
        <v>12561.270476523376</v>
      </c>
      <c r="E96" s="71">
        <f ca="1">IF(A96="","",-'Dados de entrada'!$J$20)</f>
        <v>-615.26347669246445</v>
      </c>
      <c r="F96" s="71">
        <f t="shared" ca="1" si="25"/>
        <v>11946.006999830912</v>
      </c>
      <c r="G96" s="71">
        <f t="shared" ca="1" si="26"/>
        <v>306.47558573067181</v>
      </c>
      <c r="H96" s="69">
        <f t="shared" ca="1" si="27"/>
        <v>2829</v>
      </c>
      <c r="I96" s="71">
        <f ca="1">IF(A96="","",MIN(H96,365)*G96*'Dados de entrada'!$B$11+G96*'Dados de entrada'!$B$12)</f>
        <v>10.337421506695559</v>
      </c>
      <c r="J96" s="71">
        <f t="shared" ca="1" si="28"/>
        <v>-3000</v>
      </c>
      <c r="K96" s="71">
        <f t="shared" ca="1" si="29"/>
        <v>-3000</v>
      </c>
      <c r="L96" s="72">
        <f ca="1">IF(A96="","",IF(A96&lt;='Dados de entrada'!$J$2,-V95,-V95*(1-'Dados de entrada'!$J$3)))</f>
        <v>3000</v>
      </c>
      <c r="M96" s="72">
        <f ca="1">IF(A96="","",L96*'Dados de entrada'!$E$4)</f>
        <v>60.599999999999994</v>
      </c>
      <c r="N96" s="72">
        <f ca="1">IF(A96="","",IF(A96&lt;='Dados de entrada'!$E$2,'Dados de entrada'!$E$13*'Dados de entrada'!$E$10/'Dados de entrada'!$B$10,'Dados de entrada'!$E$13*'Dados de entrada'!$E$10/'Dados de entrada'!$B$10*(1-'Dados de entrada'!$E$3)))</f>
        <v>0</v>
      </c>
      <c r="O96" s="71">
        <f ca="1">IF(A96="","",IF(AND(A96='Dados de entrada'!$E$2),(O95*(1+'Dados de entrada'!$B$6)-L96)*(1-'Dados de entrada'!$E$3),IF(AND(A96&lt;&gt;'Dados de entrada'!$A$2),O95*(1+'Dados de entrada'!$B$6)^(C96/30)-L96,"")))</f>
        <v>58248.250314077035</v>
      </c>
      <c r="P96" s="71">
        <f ca="1">IF(A96="","",(O95*((1+'Dados de entrada'!$B$6)^(-DAYS360(B96,B95)/30)-1)-O95*((1+'Dados de entrada'!$H$10)^(-DAYS360(B96,B95)/360)-1))*4.65%)</f>
        <v>54.370025603819784</v>
      </c>
      <c r="Q96" s="75">
        <f ca="1">IF(E96&lt;&gt;"",'Dados de entrada'!$H$5-E96*'Dados de entrada'!$H$6,"")</f>
        <v>0</v>
      </c>
      <c r="R96" s="71">
        <f ca="1">IF(A96="","",IF(A96='Dados de entrada'!$E$2,PV('Dados de entrada'!$B$6,'Dados de entrada'!$B$10-'Dados de entrada'!$E$2+1,+L96*(-'Dados de entrada'!$E$3),,1)+L96*(1-'Dados de entrada'!$E$3)-M96-N96-P96-Q96,L96-M96-N96-P96-Q96))</f>
        <v>2885.0299743961805</v>
      </c>
      <c r="S96" s="74">
        <f t="shared" ca="1" si="21"/>
        <v>2829</v>
      </c>
      <c r="T96" s="67">
        <f ca="1">IF(E96&lt;&gt;"",(-E96)/((1+'Dados de entrada'!$B$6)^(S96/30)),"")</f>
        <v>58.847471339775751</v>
      </c>
      <c r="U96" s="67">
        <f t="shared" ca="1" si="22"/>
        <v>166479.49642022559</v>
      </c>
      <c r="V96" s="71">
        <f ca="1">IF(F96="","",-'Dados de entrada'!$B$2)</f>
        <v>-3000</v>
      </c>
      <c r="X96" s="93">
        <f>+Resumo!$E$12-Resumo!$E$20</f>
        <v>0</v>
      </c>
      <c r="Y96" s="116">
        <f t="shared" si="31"/>
        <v>49041</v>
      </c>
      <c r="Z96" s="81">
        <v>30</v>
      </c>
      <c r="AA96" s="81">
        <f t="shared" ca="1" si="32"/>
        <v>2788</v>
      </c>
      <c r="AB96" s="93">
        <f>IF(A96&lt;='Dados de entrada'!$B$18,'Dados de entrada'!$B$20,0)</f>
        <v>0</v>
      </c>
      <c r="AC96" s="93">
        <f>IF(OR(Resumo!$E$23&gt;0,Resumo!$E$28&gt;0,Resumo!$E$33&gt;0),IF(AND(A96&gt;'Dados de entrada'!$B$18,A96&lt;='Dados de entrada'!$B$10),'Dados de entrada'!$B$21,0),IF(AND(A96&gt;'Dados de entrada'!$B$18,A96&lt;='Dados de entrada'!$B$10),'Dados de entrada'!$B$21,IF(A96&lt;='Dados de entrada'!$B$18,X96,0)))</f>
        <v>3000</v>
      </c>
      <c r="AD96" s="93">
        <f ca="1">AC96/((1+'Dados de entrada'!$D$22)^($AA96/360))</f>
        <v>230.44173288191845</v>
      </c>
      <c r="AE96" s="93">
        <f>IF(A96&lt;='Dados de entrada'!$B$27,'Dados de entrada'!$B$29,0)</f>
        <v>0</v>
      </c>
      <c r="AF96" s="93">
        <f>IF(AND(A96&gt;'Dados de entrada'!$B$27,A96&lt;='Dados de entrada'!$B$10),'Dados de entrada'!$B$30,0)</f>
        <v>0</v>
      </c>
      <c r="AG96" s="93">
        <f ca="1">AF96/((1+'Dados de entrada'!$D$31)^($AA96/360))</f>
        <v>0</v>
      </c>
      <c r="AH96" s="93">
        <f>IF(A96&lt;='Dados de entrada'!$B$36,'Dados de entrada'!$B$38,0)</f>
        <v>0</v>
      </c>
      <c r="AI96" s="93">
        <f>IF(AND(A96&gt;'Dados de entrada'!$B$36,A96&lt;='Dados de entrada'!$B$10),'Dados de entrada'!$B$39,0)</f>
        <v>0</v>
      </c>
      <c r="AJ96" s="93">
        <f ca="1">AI96/((1+'Dados de entrada'!$D$40)^($AA96/360))</f>
        <v>0</v>
      </c>
      <c r="AK96" s="93">
        <f>IF(A96&lt;='Dados de entrada'!$B$45,'Dados de entrada'!$B$47,0)</f>
        <v>0</v>
      </c>
      <c r="AL96" s="93">
        <f>IF(AND(A96&gt;'Dados de entrada'!$B$45,A96&lt;='Dados de entrada'!$B$10),'Dados de entrada'!$B$48,0)</f>
        <v>0</v>
      </c>
      <c r="AM96" s="93">
        <f ca="1">AL96/((1+'Dados de entrada'!$D$49)^($AA96/360))</f>
        <v>0</v>
      </c>
      <c r="AN96" s="85">
        <f t="shared" si="30"/>
        <v>3000</v>
      </c>
    </row>
    <row r="97" spans="1:40">
      <c r="A97" s="69">
        <f>IF(A96="","",IF(A96+1&lt;='Dados de entrada'!$B$10,A96+1,""))</f>
        <v>94</v>
      </c>
      <c r="B97" s="70">
        <f t="shared" si="23"/>
        <v>49071</v>
      </c>
      <c r="C97" s="69">
        <f t="shared" si="24"/>
        <v>30</v>
      </c>
      <c r="D97" s="71">
        <f ca="1">IF(A97="","",F96*(1+'Dados de entrada'!$B$6)^(C97/30))</f>
        <v>12247.071072449098</v>
      </c>
      <c r="E97" s="71">
        <f ca="1">IF(A97="","",-'Dados de entrada'!$J$20)</f>
        <v>-615.26347669246445</v>
      </c>
      <c r="F97" s="71">
        <f t="shared" ca="1" si="25"/>
        <v>11631.807595756634</v>
      </c>
      <c r="G97" s="71">
        <f t="shared" ca="1" si="26"/>
        <v>314.19940407427748</v>
      </c>
      <c r="H97" s="69">
        <f t="shared" ca="1" si="27"/>
        <v>2859</v>
      </c>
      <c r="I97" s="71">
        <f ca="1">IF(A97="","",MIN(H97,365)*G97*'Dados de entrada'!$B$11+G97*'Dados de entrada'!$B$12)</f>
        <v>10.59794589942538</v>
      </c>
      <c r="J97" s="71">
        <f t="shared" ca="1" si="28"/>
        <v>-3000</v>
      </c>
      <c r="K97" s="71">
        <f t="shared" ca="1" si="29"/>
        <v>-3000</v>
      </c>
      <c r="L97" s="72">
        <f ca="1">IF(A97="","",IF(A97&lt;='Dados de entrada'!$J$2,-V96,-V96*(1-'Dados de entrada'!$J$3)))</f>
        <v>3000</v>
      </c>
      <c r="M97" s="72">
        <f ca="1">IF(A97="","",L97*'Dados de entrada'!$E$4)</f>
        <v>60.599999999999994</v>
      </c>
      <c r="N97" s="72">
        <f ca="1">IF(A97="","",IF(A97&lt;='Dados de entrada'!$E$2,'Dados de entrada'!$E$13*'Dados de entrada'!$E$10/'Dados de entrada'!$B$10,'Dados de entrada'!$E$13*'Dados de entrada'!$E$10/'Dados de entrada'!$B$10*(1-'Dados de entrada'!$E$3)))</f>
        <v>0</v>
      </c>
      <c r="O97" s="71">
        <f ca="1">IF(A97="","",IF(AND(A97='Dados de entrada'!$E$2),(O96*(1+'Dados de entrada'!$B$6)-L97)*(1-'Dados de entrada'!$E$3),IF(AND(A97&lt;&gt;'Dados de entrada'!$A$2),O96*(1+'Dados de entrada'!$B$6)^(C97/30)-L97,"")))</f>
        <v>56716.2266397805</v>
      </c>
      <c r="P97" s="71">
        <f ca="1">IF(A97="","",(O96*((1+'Dados de entrada'!$B$6)^(-DAYS360(B97,B96)/30)-1)-O96*((1+'Dados de entrada'!$H$10)^(-DAYS360(B97,B96)/360)-1))*4.65%)</f>
        <v>53.010049343762986</v>
      </c>
      <c r="Q97" s="75">
        <f ca="1">IF(E97&lt;&gt;"",'Dados de entrada'!$H$5-E97*'Dados de entrada'!$H$6,"")</f>
        <v>0</v>
      </c>
      <c r="R97" s="71">
        <f ca="1">IF(A97="","",IF(A97='Dados de entrada'!$E$2,PV('Dados de entrada'!$B$6,'Dados de entrada'!$B$10-'Dados de entrada'!$E$2+1,+L97*(-'Dados de entrada'!$E$3),,1)+L97*(1-'Dados de entrada'!$E$3)-M97-N97-P97-Q97,L97-M97-N97-P97-Q97))</f>
        <v>2886.389950656237</v>
      </c>
      <c r="S97" s="74">
        <f t="shared" ca="1" si="21"/>
        <v>2859</v>
      </c>
      <c r="T97" s="67">
        <f ca="1">IF(E97&lt;&gt;"",(-E97)/((1+'Dados de entrada'!$B$6)^(S97/30)),"")</f>
        <v>57.400851223012445</v>
      </c>
      <c r="U97" s="67">
        <f t="shared" ca="1" si="22"/>
        <v>164109.03364659258</v>
      </c>
      <c r="V97" s="71">
        <f ca="1">IF(F97="","",-'Dados de entrada'!$B$2)</f>
        <v>-3000</v>
      </c>
      <c r="X97" s="93">
        <f>+Resumo!$E$12-Resumo!$E$20</f>
        <v>0</v>
      </c>
      <c r="Y97" s="116">
        <f t="shared" si="31"/>
        <v>49071</v>
      </c>
      <c r="Z97" s="81">
        <v>30</v>
      </c>
      <c r="AA97" s="81">
        <f t="shared" ca="1" si="32"/>
        <v>2818</v>
      </c>
      <c r="AB97" s="93">
        <f>IF(A97&lt;='Dados de entrada'!$B$18,'Dados de entrada'!$B$20,0)</f>
        <v>0</v>
      </c>
      <c r="AC97" s="93">
        <f>IF(OR(Resumo!$E$23&gt;0,Resumo!$E$28&gt;0,Resumo!$E$33&gt;0),IF(AND(A97&gt;'Dados de entrada'!$B$18,A97&lt;='Dados de entrada'!$B$10),'Dados de entrada'!$B$21,0),IF(AND(A97&gt;'Dados de entrada'!$B$18,A97&lt;='Dados de entrada'!$B$10),'Dados de entrada'!$B$21,IF(A97&lt;='Dados de entrada'!$B$18,X97,0)))</f>
        <v>3000</v>
      </c>
      <c r="AD97" s="93">
        <f ca="1">AC97/((1+'Dados de entrada'!$D$22)^($AA97/360))</f>
        <v>224.16510980731371</v>
      </c>
      <c r="AE97" s="93">
        <f>IF(A97&lt;='Dados de entrada'!$B$27,'Dados de entrada'!$B$29,0)</f>
        <v>0</v>
      </c>
      <c r="AF97" s="93">
        <f>IF(AND(A97&gt;'Dados de entrada'!$B$27,A97&lt;='Dados de entrada'!$B$10),'Dados de entrada'!$B$30,0)</f>
        <v>0</v>
      </c>
      <c r="AG97" s="93">
        <f ca="1">AF97/((1+'Dados de entrada'!$D$31)^($AA97/360))</f>
        <v>0</v>
      </c>
      <c r="AH97" s="93">
        <f>IF(A97&lt;='Dados de entrada'!$B$36,'Dados de entrada'!$B$38,0)</f>
        <v>0</v>
      </c>
      <c r="AI97" s="93">
        <f>IF(AND(A97&gt;'Dados de entrada'!$B$36,A97&lt;='Dados de entrada'!$B$10),'Dados de entrada'!$B$39,0)</f>
        <v>0</v>
      </c>
      <c r="AJ97" s="93">
        <f ca="1">AI97/((1+'Dados de entrada'!$D$40)^($AA97/360))</f>
        <v>0</v>
      </c>
      <c r="AK97" s="93">
        <f>IF(A97&lt;='Dados de entrada'!$B$45,'Dados de entrada'!$B$47,0)</f>
        <v>0</v>
      </c>
      <c r="AL97" s="93">
        <f>IF(AND(A97&gt;'Dados de entrada'!$B$45,A97&lt;='Dados de entrada'!$B$10),'Dados de entrada'!$B$48,0)</f>
        <v>0</v>
      </c>
      <c r="AM97" s="93">
        <f ca="1">AL97/((1+'Dados de entrada'!$D$49)^($AA97/360))</f>
        <v>0</v>
      </c>
      <c r="AN97" s="85">
        <f t="shared" si="30"/>
        <v>3000</v>
      </c>
    </row>
    <row r="98" spans="1:40">
      <c r="A98" s="69">
        <f>IF(A97="","",IF(A97+1&lt;='Dados de entrada'!$B$10,A97+1,""))</f>
        <v>95</v>
      </c>
      <c r="B98" s="70">
        <f t="shared" si="23"/>
        <v>49102</v>
      </c>
      <c r="C98" s="69">
        <f t="shared" si="24"/>
        <v>30</v>
      </c>
      <c r="D98" s="71">
        <f ca="1">IF(A98="","",F97*(1+'Dados de entrada'!$B$6)^(C98/30))</f>
        <v>11924.953193841351</v>
      </c>
      <c r="E98" s="71">
        <f ca="1">IF(A98="","",-'Dados de entrada'!$J$20)</f>
        <v>-615.26347669246445</v>
      </c>
      <c r="F98" s="71">
        <f t="shared" ca="1" si="25"/>
        <v>11309.689717148887</v>
      </c>
      <c r="G98" s="71">
        <f t="shared" ca="1" si="26"/>
        <v>322.11787860774712</v>
      </c>
      <c r="H98" s="69">
        <f t="shared" ca="1" si="27"/>
        <v>2890</v>
      </c>
      <c r="I98" s="71">
        <f ca="1">IF(A98="","",MIN(H98,365)*G98*'Dados de entrada'!$B$11+G98*'Dados de entrada'!$B$12)</f>
        <v>10.865036045439311</v>
      </c>
      <c r="J98" s="71">
        <f t="shared" ca="1" si="28"/>
        <v>-3000</v>
      </c>
      <c r="K98" s="71">
        <f t="shared" ca="1" si="29"/>
        <v>-3000</v>
      </c>
      <c r="L98" s="72">
        <f ca="1">IF(A98="","",IF(A98&lt;='Dados de entrada'!$J$2,-V97,-V97*(1-'Dados de entrada'!$J$3)))</f>
        <v>3000</v>
      </c>
      <c r="M98" s="72">
        <f ca="1">IF(A98="","",L98*'Dados de entrada'!$E$4)</f>
        <v>60.599999999999994</v>
      </c>
      <c r="N98" s="72">
        <f ca="1">IF(A98="","",IF(A98&lt;='Dados de entrada'!$E$2,'Dados de entrada'!$E$13*'Dados de entrada'!$E$10/'Dados de entrada'!$B$10,'Dados de entrada'!$E$13*'Dados de entrada'!$E$10/'Dados de entrada'!$B$10*(1-'Dados de entrada'!$E$3)))</f>
        <v>0</v>
      </c>
      <c r="O98" s="71">
        <f ca="1">IF(A98="","",IF(AND(A98='Dados de entrada'!$E$2),(O97*(1+'Dados de entrada'!$B$6)-L98)*(1-'Dados de entrada'!$E$3),IF(AND(A98&lt;&gt;'Dados de entrada'!$A$2),O97*(1+'Dados de entrada'!$B$6)^(C98/30)-L98,"")))</f>
        <v>55145.592801708088</v>
      </c>
      <c r="P98" s="71">
        <f ca="1">IF(A98="","",(O97*((1+'Dados de entrada'!$B$6)^(-DAYS360(B98,B97)/30)-1)-O97*((1+'Dados de entrada'!$H$10)^(-DAYS360(B98,B97)/360)-1))*4.65%)</f>
        <v>51.61579887044627</v>
      </c>
      <c r="Q98" s="75">
        <f ca="1">IF(E98&lt;&gt;"",'Dados de entrada'!$H$5-E98*'Dados de entrada'!$H$6,"")</f>
        <v>0</v>
      </c>
      <c r="R98" s="71">
        <f ca="1">IF(A98="","",IF(A98='Dados de entrada'!$E$2,PV('Dados de entrada'!$B$6,'Dados de entrada'!$B$10-'Dados de entrada'!$E$2+1,+L98*(-'Dados de entrada'!$E$3),,1)+L98*(1-'Dados de entrada'!$E$3)-M98-N98-P98-Q98,L98-M98-N98-P98-Q98))</f>
        <v>2887.7842011295538</v>
      </c>
      <c r="S98" s="74">
        <f t="shared" ca="1" si="21"/>
        <v>2890</v>
      </c>
      <c r="T98" s="67">
        <f ca="1">IF(E98&lt;&gt;"",(-E98)/((1+'Dados de entrada'!$B$6)^(S98/30)),"")</f>
        <v>55.943359598119756</v>
      </c>
      <c r="U98" s="67">
        <f t="shared" ca="1" si="22"/>
        <v>161676.30923856609</v>
      </c>
      <c r="V98" s="71">
        <f ca="1">IF(F98="","",-'Dados de entrada'!$B$2)</f>
        <v>-3000</v>
      </c>
      <c r="X98" s="93">
        <f>+Resumo!$E$12-Resumo!$E$20</f>
        <v>0</v>
      </c>
      <c r="Y98" s="116">
        <f t="shared" si="31"/>
        <v>49102</v>
      </c>
      <c r="Z98" s="81">
        <v>30</v>
      </c>
      <c r="AA98" s="81">
        <f t="shared" ca="1" si="32"/>
        <v>2848</v>
      </c>
      <c r="AB98" s="93">
        <f>IF(A98&lt;='Dados de entrada'!$B$18,'Dados de entrada'!$B$20,0)</f>
        <v>0</v>
      </c>
      <c r="AC98" s="93">
        <f>IF(OR(Resumo!$E$23&gt;0,Resumo!$E$28&gt;0,Resumo!$E$33&gt;0),IF(AND(A98&gt;'Dados de entrada'!$B$18,A98&lt;='Dados de entrada'!$B$10),'Dados de entrada'!$B$21,0),IF(AND(A98&gt;'Dados de entrada'!$B$18,A98&lt;='Dados de entrada'!$B$10),'Dados de entrada'!$B$21,IF(A98&lt;='Dados de entrada'!$B$18,X98,0)))</f>
        <v>3000</v>
      </c>
      <c r="AD98" s="93">
        <f ca="1">AC98/((1+'Dados de entrada'!$D$22)^($AA98/360))</f>
        <v>218.05944533785376</v>
      </c>
      <c r="AE98" s="93">
        <f>IF(A98&lt;='Dados de entrada'!$B$27,'Dados de entrada'!$B$29,0)</f>
        <v>0</v>
      </c>
      <c r="AF98" s="93">
        <f>IF(AND(A98&gt;'Dados de entrada'!$B$27,A98&lt;='Dados de entrada'!$B$10),'Dados de entrada'!$B$30,0)</f>
        <v>0</v>
      </c>
      <c r="AG98" s="93">
        <f ca="1">AF98/((1+'Dados de entrada'!$D$31)^($AA98/360))</f>
        <v>0</v>
      </c>
      <c r="AH98" s="93">
        <f>IF(A98&lt;='Dados de entrada'!$B$36,'Dados de entrada'!$B$38,0)</f>
        <v>0</v>
      </c>
      <c r="AI98" s="93">
        <f>IF(AND(A98&gt;'Dados de entrada'!$B$36,A98&lt;='Dados de entrada'!$B$10),'Dados de entrada'!$B$39,0)</f>
        <v>0</v>
      </c>
      <c r="AJ98" s="93">
        <f ca="1">AI98/((1+'Dados de entrada'!$D$40)^($AA98/360))</f>
        <v>0</v>
      </c>
      <c r="AK98" s="93">
        <f>IF(A98&lt;='Dados de entrada'!$B$45,'Dados de entrada'!$B$47,0)</f>
        <v>0</v>
      </c>
      <c r="AL98" s="93">
        <f>IF(AND(A98&gt;'Dados de entrada'!$B$45,A98&lt;='Dados de entrada'!$B$10),'Dados de entrada'!$B$48,0)</f>
        <v>0</v>
      </c>
      <c r="AM98" s="93">
        <f ca="1">AL98/((1+'Dados de entrada'!$D$49)^($AA98/360))</f>
        <v>0</v>
      </c>
      <c r="AN98" s="85">
        <f t="shared" si="30"/>
        <v>3000</v>
      </c>
    </row>
    <row r="99" spans="1:40">
      <c r="A99" s="69">
        <f>IF(A98="","",IF(A98+1&lt;='Dados de entrada'!$B$10,A98+1,""))</f>
        <v>96</v>
      </c>
      <c r="B99" s="70">
        <f t="shared" si="23"/>
        <v>49132</v>
      </c>
      <c r="C99" s="69">
        <f t="shared" si="24"/>
        <v>30</v>
      </c>
      <c r="D99" s="71">
        <f ca="1">IF(A99="","",F98*(1+'Dados de entrada'!$B$6)^(C99/30))</f>
        <v>11594.717278771868</v>
      </c>
      <c r="E99" s="71">
        <f ca="1">IF(A99="","",-'Dados de entrada'!$J$20)</f>
        <v>-615.26347669246445</v>
      </c>
      <c r="F99" s="71">
        <f t="shared" ca="1" si="25"/>
        <v>10979.453802079404</v>
      </c>
      <c r="G99" s="71">
        <f t="shared" ca="1" si="26"/>
        <v>330.23591506948287</v>
      </c>
      <c r="H99" s="69">
        <f t="shared" ca="1" si="27"/>
        <v>2920</v>
      </c>
      <c r="I99" s="71">
        <f ca="1">IF(A99="","",MIN(H99,365)*G99*'Dados de entrada'!$B$11+G99*'Dados de entrada'!$B$12)</f>
        <v>11.138857415293657</v>
      </c>
      <c r="J99" s="71">
        <f t="shared" ca="1" si="28"/>
        <v>-3000</v>
      </c>
      <c r="K99" s="71">
        <f t="shared" ca="1" si="29"/>
        <v>-3000</v>
      </c>
      <c r="L99" s="72">
        <f ca="1">IF(A99="","",IF(A99&lt;='Dados de entrada'!$J$2,-V98,-V98*(1-'Dados de entrada'!$J$3)))</f>
        <v>3000</v>
      </c>
      <c r="M99" s="72">
        <f ca="1">IF(A99="","",L99*'Dados de entrada'!$E$4)</f>
        <v>60.599999999999994</v>
      </c>
      <c r="N99" s="72">
        <f ca="1">IF(A99="","",IF(A99&lt;='Dados de entrada'!$E$2,'Dados de entrada'!$E$13*'Dados de entrada'!$E$10/'Dados de entrada'!$B$10,'Dados de entrada'!$E$13*'Dados de entrada'!$E$10/'Dados de entrada'!$B$10*(1-'Dados de entrada'!$E$3)))</f>
        <v>0</v>
      </c>
      <c r="O99" s="71">
        <f ca="1">IF(A99="","",IF(AND(A99='Dados de entrada'!$E$2),(O98*(1+'Dados de entrada'!$B$6)-L99)*(1-'Dados de entrada'!$E$3),IF(AND(A99&lt;&gt;'Dados de entrada'!$A$2),O98*(1+'Dados de entrada'!$B$6)^(C99/30)-L99,"")))</f>
        <v>53535.375743913079</v>
      </c>
      <c r="P99" s="71">
        <f ca="1">IF(A99="","",(O98*((1+'Dados de entrada'!$B$6)^(-DAYS360(B99,B98)/30)-1)-O98*((1+'Dados de entrada'!$H$10)^(-DAYS360(B99,B98)/360)-1))*4.65%)</f>
        <v>50.186410402839698</v>
      </c>
      <c r="Q99" s="75">
        <f ca="1">IF(E99&lt;&gt;"",'Dados de entrada'!$H$5-E99*'Dados de entrada'!$H$6,"")</f>
        <v>0</v>
      </c>
      <c r="R99" s="71">
        <f ca="1">IF(A99="","",IF(A99='Dados de entrada'!$E$2,PV('Dados de entrada'!$B$6,'Dados de entrada'!$B$10-'Dados de entrada'!$E$2+1,+L99*(-'Dados de entrada'!$E$3),,1)+L99*(1-'Dados de entrada'!$E$3)-M99-N99-P99-Q99,L99-M99-N99-P99-Q99))</f>
        <v>2889.2135895971605</v>
      </c>
      <c r="S99" s="74">
        <f t="shared" ca="1" si="21"/>
        <v>2920</v>
      </c>
      <c r="T99" s="67">
        <f ca="1">IF(E99&lt;&gt;"",(-E99)/((1+'Dados de entrada'!$B$6)^(S99/30)),"")</f>
        <v>54.568129914473808</v>
      </c>
      <c r="U99" s="67">
        <f t="shared" ca="1" si="22"/>
        <v>159338.93935026351</v>
      </c>
      <c r="V99" s="71">
        <f ca="1">IF(F99="","",-'Dados de entrada'!$B$2)</f>
        <v>-3000</v>
      </c>
      <c r="X99" s="93">
        <f>+Resumo!$E$12-Resumo!$E$20</f>
        <v>0</v>
      </c>
      <c r="Y99" s="116">
        <f t="shared" si="31"/>
        <v>49132</v>
      </c>
      <c r="Z99" s="81">
        <v>30</v>
      </c>
      <c r="AA99" s="81">
        <f t="shared" ca="1" si="32"/>
        <v>2878</v>
      </c>
      <c r="AB99" s="93">
        <f>IF(A99&lt;='Dados de entrada'!$B$18,'Dados de entrada'!$B$20,0)</f>
        <v>0</v>
      </c>
      <c r="AC99" s="93">
        <f>IF(OR(Resumo!$E$23&gt;0,Resumo!$E$28&gt;0,Resumo!$E$33&gt;0),IF(AND(A99&gt;'Dados de entrada'!$B$18,A99&lt;='Dados de entrada'!$B$10),'Dados de entrada'!$B$21,0),IF(AND(A99&gt;'Dados de entrada'!$B$18,A99&lt;='Dados de entrada'!$B$10),'Dados de entrada'!$B$21,IF(A99&lt;='Dados de entrada'!$B$18,X99,0)))</f>
        <v>3000</v>
      </c>
      <c r="AD99" s="93">
        <f ca="1">AC99/((1+'Dados de entrada'!$D$22)^($AA99/360))</f>
        <v>212.12008301347635</v>
      </c>
      <c r="AE99" s="93">
        <f>IF(A99&lt;='Dados de entrada'!$B$27,'Dados de entrada'!$B$29,0)</f>
        <v>0</v>
      </c>
      <c r="AF99" s="93">
        <f>IF(AND(A99&gt;'Dados de entrada'!$B$27,A99&lt;='Dados de entrada'!$B$10),'Dados de entrada'!$B$30,0)</f>
        <v>0</v>
      </c>
      <c r="AG99" s="93">
        <f ca="1">AF99/((1+'Dados de entrada'!$D$31)^($AA99/360))</f>
        <v>0</v>
      </c>
      <c r="AH99" s="93">
        <f>IF(A99&lt;='Dados de entrada'!$B$36,'Dados de entrada'!$B$38,0)</f>
        <v>0</v>
      </c>
      <c r="AI99" s="93">
        <f>IF(AND(A99&gt;'Dados de entrada'!$B$36,A99&lt;='Dados de entrada'!$B$10),'Dados de entrada'!$B$39,0)</f>
        <v>0</v>
      </c>
      <c r="AJ99" s="93">
        <f ca="1">AI99/((1+'Dados de entrada'!$D$40)^($AA99/360))</f>
        <v>0</v>
      </c>
      <c r="AK99" s="93">
        <f>IF(A99&lt;='Dados de entrada'!$B$45,'Dados de entrada'!$B$47,0)</f>
        <v>0</v>
      </c>
      <c r="AL99" s="93">
        <f>IF(AND(A99&gt;'Dados de entrada'!$B$45,A99&lt;='Dados de entrada'!$B$10),'Dados de entrada'!$B$48,0)</f>
        <v>0</v>
      </c>
      <c r="AM99" s="93">
        <f ca="1">AL99/((1+'Dados de entrada'!$D$49)^($AA99/360))</f>
        <v>0</v>
      </c>
      <c r="AN99" s="85">
        <f t="shared" si="30"/>
        <v>3000</v>
      </c>
    </row>
    <row r="100" spans="1:40">
      <c r="A100" s="69">
        <f>IF(A99="","",IF(A99+1&lt;='Dados de entrada'!$B$10,A99+1,""))</f>
        <v>97</v>
      </c>
      <c r="B100" s="70">
        <f t="shared" si="23"/>
        <v>49163</v>
      </c>
      <c r="C100" s="69">
        <f t="shared" si="24"/>
        <v>30</v>
      </c>
      <c r="D100" s="71">
        <f ca="1">IF(A100="","",F99*(1+'Dados de entrada'!$B$6)^(C100/30))</f>
        <v>11256.158735939232</v>
      </c>
      <c r="E100" s="71">
        <f ca="1">IF(A100="","",-'Dados de entrada'!$J$20)</f>
        <v>-615.26347669246445</v>
      </c>
      <c r="F100" s="71">
        <f t="shared" ca="1" si="25"/>
        <v>10640.895259246769</v>
      </c>
      <c r="G100" s="71">
        <f t="shared" ca="1" si="26"/>
        <v>338.55854283263579</v>
      </c>
      <c r="H100" s="69">
        <f t="shared" ca="1" si="27"/>
        <v>2951</v>
      </c>
      <c r="I100" s="71">
        <f ca="1">IF(A100="","",MIN(H100,365)*G100*'Dados de entrada'!$B$11+G100*'Dados de entrada'!$B$12)</f>
        <v>11.419579649744804</v>
      </c>
      <c r="J100" s="71">
        <f t="shared" ca="1" si="28"/>
        <v>-3000</v>
      </c>
      <c r="K100" s="71">
        <f t="shared" ca="1" si="29"/>
        <v>-3000</v>
      </c>
      <c r="L100" s="72">
        <f ca="1">IF(A100="","",IF(A100&lt;='Dados de entrada'!$J$2,-V99,-V99*(1-'Dados de entrada'!$J$3)))</f>
        <v>3000</v>
      </c>
      <c r="M100" s="72">
        <f ca="1">IF(A100="","",L100*'Dados de entrada'!$E$4)</f>
        <v>60.599999999999994</v>
      </c>
      <c r="N100" s="72">
        <f ca="1">IF(A100="","",IF(A100&lt;='Dados de entrada'!$E$2,'Dados de entrada'!$E$13*'Dados de entrada'!$E$10/'Dados de entrada'!$B$10,'Dados de entrada'!$E$13*'Dados de entrada'!$E$10/'Dados de entrada'!$B$10*(1-'Dados de entrada'!$E$3)))</f>
        <v>0</v>
      </c>
      <c r="O100" s="71">
        <f ca="1">IF(A100="","",IF(AND(A100='Dados de entrada'!$E$2),(O99*(1+'Dados de entrada'!$B$6)-L100)*(1-'Dados de entrada'!$E$3),IF(AND(A100&lt;&gt;'Dados de entrada'!$A$2),O99*(1+'Dados de entrada'!$B$6)^(C100/30)-L100,"")))</f>
        <v>51884.577887427266</v>
      </c>
      <c r="P100" s="71">
        <f ca="1">IF(A100="","",(O99*((1+'Dados de entrada'!$B$6)^(-DAYS360(B100,B99)/30)-1)-O99*((1+'Dados de entrada'!$H$10)^(-DAYS360(B100,B99)/360)-1))*4.65%)</f>
        <v>48.720998390845686</v>
      </c>
      <c r="Q100" s="75">
        <f ca="1">IF(E100&lt;&gt;"",'Dados de entrada'!$H$5-E100*'Dados de entrada'!$H$6,"")</f>
        <v>0</v>
      </c>
      <c r="R100" s="71">
        <f ca="1">IF(A100="","",IF(A100='Dados de entrada'!$E$2,PV('Dados de entrada'!$B$6,'Dados de entrada'!$B$10-'Dados de entrada'!$E$2+1,+L100*(-'Dados de entrada'!$E$3),,1)+L100*(1-'Dados de entrada'!$E$3)-M100-N100-P100-Q100,L100-M100-N100-P100-Q100))</f>
        <v>2890.6790016091545</v>
      </c>
      <c r="S100" s="74">
        <f t="shared" ref="S100:S122" ca="1" si="33">IF(H100&lt;&gt;"",H100,"")</f>
        <v>2951</v>
      </c>
      <c r="T100" s="67">
        <f ca="1">IF(E100&lt;&gt;"",(-E100)/((1+'Dados de entrada'!$B$6)^(S100/30)),"")</f>
        <v>53.182565229598282</v>
      </c>
      <c r="U100" s="67">
        <f t="shared" ref="U100:U122" ca="1" si="34">IF(T100&lt;&gt;"",T100*S100,"")</f>
        <v>156941.74999254453</v>
      </c>
      <c r="V100" s="71">
        <f ca="1">IF(F100="","",-'Dados de entrada'!$B$2)</f>
        <v>-3000</v>
      </c>
      <c r="X100" s="93">
        <f>+Resumo!$E$12-Resumo!$E$20</f>
        <v>0</v>
      </c>
      <c r="Y100" s="116">
        <f t="shared" si="31"/>
        <v>49163</v>
      </c>
      <c r="Z100" s="81">
        <v>30</v>
      </c>
      <c r="AA100" s="81">
        <f t="shared" ref="AA100:AA123" ca="1" si="35">AA99+Z100</f>
        <v>2908</v>
      </c>
      <c r="AB100" s="93">
        <f>IF(A100&lt;='Dados de entrada'!$B$18,'Dados de entrada'!$B$20,0)</f>
        <v>0</v>
      </c>
      <c r="AC100" s="93">
        <f>IF(OR(Resumo!$E$23&gt;0,Resumo!$E$28&gt;0,Resumo!$E$33&gt;0),IF(AND(A100&gt;'Dados de entrada'!$B$18,A100&lt;='Dados de entrada'!$B$10),'Dados de entrada'!$B$21,0),IF(AND(A100&gt;'Dados de entrada'!$B$18,A100&lt;='Dados de entrada'!$B$10),'Dados de entrada'!$B$21,IF(A100&lt;='Dados de entrada'!$B$18,X100,0)))</f>
        <v>3000</v>
      </c>
      <c r="AD100" s="93">
        <f ca="1">AC100/((1+'Dados de entrada'!$D$22)^($AA100/360))</f>
        <v>206.3424932037708</v>
      </c>
      <c r="AE100" s="93">
        <f>IF(A100&lt;='Dados de entrada'!$B$27,'Dados de entrada'!$B$29,0)</f>
        <v>0</v>
      </c>
      <c r="AF100" s="93">
        <f>IF(AND(A100&gt;'Dados de entrada'!$B$27,A100&lt;='Dados de entrada'!$B$10),'Dados de entrada'!$B$30,0)</f>
        <v>0</v>
      </c>
      <c r="AG100" s="93">
        <f ca="1">AF100/((1+'Dados de entrada'!$D$31)^($AA100/360))</f>
        <v>0</v>
      </c>
      <c r="AH100" s="93">
        <f>IF(A100&lt;='Dados de entrada'!$B$36,'Dados de entrada'!$B$38,0)</f>
        <v>0</v>
      </c>
      <c r="AI100" s="93">
        <f>IF(AND(A100&gt;'Dados de entrada'!$B$36,A100&lt;='Dados de entrada'!$B$10),'Dados de entrada'!$B$39,0)</f>
        <v>0</v>
      </c>
      <c r="AJ100" s="93">
        <f ca="1">AI100/((1+'Dados de entrada'!$D$40)^($AA100/360))</f>
        <v>0</v>
      </c>
      <c r="AK100" s="93">
        <f>IF(A100&lt;='Dados de entrada'!$B$45,'Dados de entrada'!$B$47,0)</f>
        <v>0</v>
      </c>
      <c r="AL100" s="93">
        <f>IF(AND(A100&gt;'Dados de entrada'!$B$45,A100&lt;='Dados de entrada'!$B$10),'Dados de entrada'!$B$48,0)</f>
        <v>0</v>
      </c>
      <c r="AM100" s="93">
        <f ca="1">AL100/((1+'Dados de entrada'!$D$49)^($AA100/360))</f>
        <v>0</v>
      </c>
      <c r="AN100" s="85">
        <f t="shared" si="30"/>
        <v>3000</v>
      </c>
    </row>
    <row r="101" spans="1:40">
      <c r="A101" s="69">
        <f>IF(A100="","",IF(A100+1&lt;='Dados de entrada'!$B$10,A100+1,""))</f>
        <v>98</v>
      </c>
      <c r="B101" s="70">
        <f t="shared" ref="B101:B123" si="36">IF(A101="","",DATE(YEAR(B100),MONTH(B100)+1,DAY(B100)))</f>
        <v>49194</v>
      </c>
      <c r="C101" s="69">
        <f t="shared" ref="C101:C123" si="37">IF(A101="","",30)</f>
        <v>30</v>
      </c>
      <c r="D101" s="71">
        <f ca="1">IF(A101="","",F100*(1+'Dados de entrada'!$B$6)^(C101/30))</f>
        <v>10909.067817918276</v>
      </c>
      <c r="E101" s="71">
        <f ca="1">IF(A101="","",-'Dados de entrada'!$J$20)</f>
        <v>-615.26347669246445</v>
      </c>
      <c r="F101" s="71">
        <f t="shared" ref="F101:F123" ca="1" si="38">IF(A101="","",D101+E101)</f>
        <v>10293.804341225812</v>
      </c>
      <c r="G101" s="71">
        <f t="shared" ref="G101:G123" ca="1" si="39">IF(A101="","",F100-F101)</f>
        <v>347.09091802095645</v>
      </c>
      <c r="H101" s="69">
        <f t="shared" ref="H101:H123" ca="1" si="40">IF(A101="","",B101-$B$3)</f>
        <v>2982</v>
      </c>
      <c r="I101" s="71">
        <f ca="1">IF(A101="","",MIN(H101,365)*G101*'Dados de entrada'!$B$11+G101*'Dados de entrada'!$B$12)</f>
        <v>11.707376664846862</v>
      </c>
      <c r="J101" s="71">
        <f t="shared" ref="J101:J123" ca="1" si="41">IF(A101="","",V101)</f>
        <v>-3000</v>
      </c>
      <c r="K101" s="71">
        <f t="shared" ref="K101:K123" ca="1" si="42">IF(A101="","",V101)</f>
        <v>-3000</v>
      </c>
      <c r="L101" s="72">
        <f ca="1">IF(A101="","",IF(A101&lt;='Dados de entrada'!$J$2,-V100,-V100*(1-'Dados de entrada'!$J$3)))</f>
        <v>3000</v>
      </c>
      <c r="M101" s="72">
        <f ca="1">IF(A101="","",L101*'Dados de entrada'!$E$4)</f>
        <v>60.599999999999994</v>
      </c>
      <c r="N101" s="72">
        <f ca="1">IF(A101="","",IF(A101&lt;='Dados de entrada'!$E$2,'Dados de entrada'!$E$13*'Dados de entrada'!$E$10/'Dados de entrada'!$B$10,'Dados de entrada'!$E$13*'Dados de entrada'!$E$10/'Dados de entrada'!$B$10*(1-'Dados de entrada'!$E$3)))</f>
        <v>0</v>
      </c>
      <c r="O101" s="71">
        <f ca="1">IF(A101="","",IF(AND(A101='Dados de entrada'!$E$2),(O100*(1+'Dados de entrada'!$B$6)-L101)*(1-'Dados de entrada'!$E$3),IF(AND(A101&lt;&gt;'Dados de entrada'!$A$2),O100*(1+'Dados de entrada'!$B$6)^(C101/30)-L101,"")))</f>
        <v>50192.176512230137</v>
      </c>
      <c r="P101" s="71">
        <f ca="1">IF(A101="","",(O100*((1+'Dados de entrada'!$B$6)^(-DAYS360(B101,B100)/30)-1)-O100*((1+'Dados de entrada'!$H$10)^(-DAYS360(B101,B100)/360)-1))*4.65%)</f>
        <v>47.218654966673469</v>
      </c>
      <c r="Q101" s="75">
        <f ca="1">IF(E101&lt;&gt;"",'Dados de entrada'!$H$5-E101*'Dados de entrada'!$H$6,"")</f>
        <v>0</v>
      </c>
      <c r="R101" s="71">
        <f ca="1">IF(A101="","",IF(A101='Dados de entrada'!$E$2,PV('Dados de entrada'!$B$6,'Dados de entrada'!$B$10-'Dados de entrada'!$E$2+1,+L101*(-'Dados de entrada'!$E$3),,1)+L101*(1-'Dados de entrada'!$E$3)-M101-N101-P101-Q101,L101-M101-N101-P101-Q101))</f>
        <v>2892.1813450333266</v>
      </c>
      <c r="S101" s="74">
        <f t="shared" ca="1" si="33"/>
        <v>2982</v>
      </c>
      <c r="T101" s="67">
        <f ca="1">IF(E101&lt;&gt;"",(-E101)/((1+'Dados de entrada'!$B$6)^(S101/30)),"")</f>
        <v>51.832182059995169</v>
      </c>
      <c r="U101" s="67">
        <f t="shared" ca="1" si="34"/>
        <v>154563.56690290559</v>
      </c>
      <c r="V101" s="71">
        <f ca="1">IF(F101="","",-'Dados de entrada'!$B$2)</f>
        <v>-3000</v>
      </c>
      <c r="X101" s="93">
        <f>+Resumo!$E$12-Resumo!$E$20</f>
        <v>0</v>
      </c>
      <c r="Y101" s="116">
        <f t="shared" si="31"/>
        <v>49194</v>
      </c>
      <c r="Z101" s="81">
        <v>30</v>
      </c>
      <c r="AA101" s="81">
        <f t="shared" ca="1" si="35"/>
        <v>2938</v>
      </c>
      <c r="AB101" s="93">
        <f>IF(A101&lt;='Dados de entrada'!$B$18,'Dados de entrada'!$B$20,0)</f>
        <v>0</v>
      </c>
      <c r="AC101" s="93">
        <f>IF(OR(Resumo!$E$23&gt;0,Resumo!$E$28&gt;0,Resumo!$E$33&gt;0),IF(AND(A101&gt;'Dados de entrada'!$B$18,A101&lt;='Dados de entrada'!$B$10),'Dados de entrada'!$B$21,0),IF(AND(A101&gt;'Dados de entrada'!$B$18,A101&lt;='Dados de entrada'!$B$10),'Dados de entrada'!$B$21,IF(A101&lt;='Dados de entrada'!$B$18,X101,0)))</f>
        <v>3000</v>
      </c>
      <c r="AD101" s="93">
        <f ca="1">AC101/((1+'Dados de entrada'!$D$22)^($AA101/360))</f>
        <v>200.72226965347349</v>
      </c>
      <c r="AE101" s="93">
        <f>IF(A101&lt;='Dados de entrada'!$B$27,'Dados de entrada'!$B$29,0)</f>
        <v>0</v>
      </c>
      <c r="AF101" s="93">
        <f>IF(AND(A101&gt;'Dados de entrada'!$B$27,A101&lt;='Dados de entrada'!$B$10),'Dados de entrada'!$B$30,0)</f>
        <v>0</v>
      </c>
      <c r="AG101" s="93">
        <f ca="1">AF101/((1+'Dados de entrada'!$D$31)^($AA101/360))</f>
        <v>0</v>
      </c>
      <c r="AH101" s="93">
        <f>IF(A101&lt;='Dados de entrada'!$B$36,'Dados de entrada'!$B$38,0)</f>
        <v>0</v>
      </c>
      <c r="AI101" s="93">
        <f>IF(AND(A101&gt;'Dados de entrada'!$B$36,A101&lt;='Dados de entrada'!$B$10),'Dados de entrada'!$B$39,0)</f>
        <v>0</v>
      </c>
      <c r="AJ101" s="93">
        <f ca="1">AI101/((1+'Dados de entrada'!$D$40)^($AA101/360))</f>
        <v>0</v>
      </c>
      <c r="AK101" s="93">
        <f>IF(A101&lt;='Dados de entrada'!$B$45,'Dados de entrada'!$B$47,0)</f>
        <v>0</v>
      </c>
      <c r="AL101" s="93">
        <f>IF(AND(A101&gt;'Dados de entrada'!$B$45,A101&lt;='Dados de entrada'!$B$10),'Dados de entrada'!$B$48,0)</f>
        <v>0</v>
      </c>
      <c r="AM101" s="93">
        <f ca="1">AL101/((1+'Dados de entrada'!$D$49)^($AA101/360))</f>
        <v>0</v>
      </c>
      <c r="AN101" s="85">
        <f t="shared" si="30"/>
        <v>3000</v>
      </c>
    </row>
    <row r="102" spans="1:40">
      <c r="A102" s="69">
        <f>IF(A101="","",IF(A101+1&lt;='Dados de entrada'!$B$10,A101+1,""))</f>
        <v>99</v>
      </c>
      <c r="B102" s="70">
        <f t="shared" si="36"/>
        <v>49224</v>
      </c>
      <c r="C102" s="69">
        <f t="shared" si="37"/>
        <v>30</v>
      </c>
      <c r="D102" s="71">
        <f ca="1">IF(A102="","",F101*(1+'Dados de entrada'!$B$6)^(C102/30))</f>
        <v>10553.229491215099</v>
      </c>
      <c r="E102" s="71">
        <f ca="1">IF(A102="","",-'Dados de entrada'!$J$20)</f>
        <v>-615.26347669246445</v>
      </c>
      <c r="F102" s="71">
        <f t="shared" ca="1" si="38"/>
        <v>9937.9660145226353</v>
      </c>
      <c r="G102" s="71">
        <f t="shared" ca="1" si="39"/>
        <v>355.83832670317679</v>
      </c>
      <c r="H102" s="69">
        <f t="shared" ca="1" si="40"/>
        <v>3012</v>
      </c>
      <c r="I102" s="71">
        <f ca="1">IF(A102="","",MIN(H102,365)*G102*'Dados de entrada'!$B$11+G102*'Dados de entrada'!$B$12)</f>
        <v>12.002426759698155</v>
      </c>
      <c r="J102" s="71">
        <f t="shared" ca="1" si="41"/>
        <v>-3000</v>
      </c>
      <c r="K102" s="71">
        <f t="shared" ca="1" si="42"/>
        <v>-3000</v>
      </c>
      <c r="L102" s="72">
        <f ca="1">IF(A102="","",IF(A102&lt;='Dados de entrada'!$J$2,-V101,-V101*(1-'Dados de entrada'!$J$3)))</f>
        <v>3000</v>
      </c>
      <c r="M102" s="72">
        <f ca="1">IF(A102="","",L102*'Dados de entrada'!$E$4)</f>
        <v>60.599999999999994</v>
      </c>
      <c r="N102" s="72">
        <f ca="1">IF(A102="","",IF(A102&lt;='Dados de entrada'!$E$2,'Dados de entrada'!$E$13*'Dados de entrada'!$E$10/'Dados de entrada'!$B$10,'Dados de entrada'!$E$13*'Dados de entrada'!$E$10/'Dados de entrada'!$B$10*(1-'Dados de entrada'!$E$3)))</f>
        <v>0</v>
      </c>
      <c r="O102" s="71">
        <f ca="1">IF(A102="","",IF(AND(A102='Dados de entrada'!$E$2),(O101*(1+'Dados de entrada'!$B$6)-L102)*(1-'Dados de entrada'!$E$3),IF(AND(A102&lt;&gt;'Dados de entrada'!$A$2),O101*(1+'Dados de entrada'!$B$6)^(C102/30)-L102,"")))</f>
        <v>48457.12312364237</v>
      </c>
      <c r="P102" s="71">
        <f ca="1">IF(A102="","",(O101*((1+'Dados de entrada'!$B$6)^(-DAYS360(B102,B101)/30)-1)-O101*((1+'Dados de entrada'!$H$10)^(-DAYS360(B102,B101)/360)-1))*4.65%)</f>
        <v>45.678449382387086</v>
      </c>
      <c r="Q102" s="75">
        <f ca="1">IF(E102&lt;&gt;"",'Dados de entrada'!$H$5-E102*'Dados de entrada'!$H$6,"")</f>
        <v>0</v>
      </c>
      <c r="R102" s="71">
        <f ca="1">IF(A102="","",IF(A102='Dados de entrada'!$E$2,PV('Dados de entrada'!$B$6,'Dados de entrada'!$B$10-'Dados de entrada'!$E$2+1,+L102*(-'Dados de entrada'!$E$3),,1)+L102*(1-'Dados de entrada'!$E$3)-M102-N102-P102-Q102,L102-M102-N102-P102-Q102))</f>
        <v>2893.721550617613</v>
      </c>
      <c r="S102" s="74">
        <f t="shared" ca="1" si="33"/>
        <v>3012</v>
      </c>
      <c r="T102" s="67">
        <f ca="1">IF(E102&lt;&gt;"",(-E102)/((1+'Dados de entrada'!$B$6)^(S102/30)),"")</f>
        <v>50.558015548560924</v>
      </c>
      <c r="U102" s="67">
        <f t="shared" ca="1" si="34"/>
        <v>152280.7428322655</v>
      </c>
      <c r="V102" s="71">
        <f ca="1">IF(F102="","",-'Dados de entrada'!$B$2)</f>
        <v>-3000</v>
      </c>
      <c r="X102" s="93">
        <f>+Resumo!$E$12-Resumo!$E$20</f>
        <v>0</v>
      </c>
      <c r="Y102" s="116">
        <f t="shared" si="31"/>
        <v>49224</v>
      </c>
      <c r="Z102" s="81">
        <v>30</v>
      </c>
      <c r="AA102" s="81">
        <f t="shared" ca="1" si="35"/>
        <v>2968</v>
      </c>
      <c r="AB102" s="93">
        <f>IF(A102&lt;='Dados de entrada'!$B$18,'Dados de entrada'!$B$20,0)</f>
        <v>0</v>
      </c>
      <c r="AC102" s="93">
        <f>IF(OR(Resumo!$E$23&gt;0,Resumo!$E$28&gt;0,Resumo!$E$33&gt;0),IF(AND(A102&gt;'Dados de entrada'!$B$18,A102&lt;='Dados de entrada'!$B$10),'Dados de entrada'!$B$21,0),IF(AND(A102&gt;'Dados de entrada'!$B$18,A102&lt;='Dados de entrada'!$B$10),'Dados de entrada'!$B$21,IF(A102&lt;='Dados de entrada'!$B$18,X102,0)))</f>
        <v>3000</v>
      </c>
      <c r="AD102" s="93">
        <f ca="1">AC102/((1+'Dados de entrada'!$D$22)^($AA102/360))</f>
        <v>195.25512612205605</v>
      </c>
      <c r="AE102" s="93">
        <f>IF(A102&lt;='Dados de entrada'!$B$27,'Dados de entrada'!$B$29,0)</f>
        <v>0</v>
      </c>
      <c r="AF102" s="93">
        <f>IF(AND(A102&gt;'Dados de entrada'!$B$27,A102&lt;='Dados de entrada'!$B$10),'Dados de entrada'!$B$30,0)</f>
        <v>0</v>
      </c>
      <c r="AG102" s="93">
        <f ca="1">AF102/((1+'Dados de entrada'!$D$31)^($AA102/360))</f>
        <v>0</v>
      </c>
      <c r="AH102" s="93">
        <f>IF(A102&lt;='Dados de entrada'!$B$36,'Dados de entrada'!$B$38,0)</f>
        <v>0</v>
      </c>
      <c r="AI102" s="93">
        <f>IF(AND(A102&gt;'Dados de entrada'!$B$36,A102&lt;='Dados de entrada'!$B$10),'Dados de entrada'!$B$39,0)</f>
        <v>0</v>
      </c>
      <c r="AJ102" s="93">
        <f ca="1">AI102/((1+'Dados de entrada'!$D$40)^($AA102/360))</f>
        <v>0</v>
      </c>
      <c r="AK102" s="93">
        <f>IF(A102&lt;='Dados de entrada'!$B$45,'Dados de entrada'!$B$47,0)</f>
        <v>0</v>
      </c>
      <c r="AL102" s="93">
        <f>IF(AND(A102&gt;'Dados de entrada'!$B$45,A102&lt;='Dados de entrada'!$B$10),'Dados de entrada'!$B$48,0)</f>
        <v>0</v>
      </c>
      <c r="AM102" s="93">
        <f ca="1">AL102/((1+'Dados de entrada'!$D$49)^($AA102/360))</f>
        <v>0</v>
      </c>
      <c r="AN102" s="85">
        <f t="shared" si="30"/>
        <v>3000</v>
      </c>
    </row>
    <row r="103" spans="1:40">
      <c r="A103" s="69">
        <f>IF(A102="","",IF(A102+1&lt;='Dados de entrada'!$B$10,A102+1,""))</f>
        <v>100</v>
      </c>
      <c r="B103" s="70">
        <f t="shared" si="36"/>
        <v>49255</v>
      </c>
      <c r="C103" s="69">
        <f t="shared" si="37"/>
        <v>30</v>
      </c>
      <c r="D103" s="71">
        <f ca="1">IF(A103="","",F102*(1+'Dados de entrada'!$B$6)^(C103/30))</f>
        <v>10188.423303047217</v>
      </c>
      <c r="E103" s="71">
        <f ca="1">IF(A103="","",-'Dados de entrada'!$J$20)</f>
        <v>-615.26347669246445</v>
      </c>
      <c r="F103" s="71">
        <f t="shared" ca="1" si="38"/>
        <v>9573.159826354753</v>
      </c>
      <c r="G103" s="71">
        <f t="shared" ca="1" si="39"/>
        <v>364.80618816788228</v>
      </c>
      <c r="H103" s="69">
        <f t="shared" ca="1" si="40"/>
        <v>3043</v>
      </c>
      <c r="I103" s="71">
        <f ca="1">IF(A103="","",MIN(H103,365)*G103*'Dados de entrada'!$B$11+G103*'Dados de entrada'!$B$12)</f>
        <v>12.304912726902671</v>
      </c>
      <c r="J103" s="71">
        <f t="shared" ca="1" si="41"/>
        <v>-3000</v>
      </c>
      <c r="K103" s="71">
        <f t="shared" ca="1" si="42"/>
        <v>-3000</v>
      </c>
      <c r="L103" s="72">
        <f ca="1">IF(A103="","",IF(A103&lt;='Dados de entrada'!$J$2,-V102,-V102*(1-'Dados de entrada'!$J$3)))</f>
        <v>3000</v>
      </c>
      <c r="M103" s="72">
        <f ca="1">IF(A103="","",L103*'Dados de entrada'!$E$4)</f>
        <v>60.599999999999994</v>
      </c>
      <c r="N103" s="72">
        <f ca="1">IF(A103="","",IF(A103&lt;='Dados de entrada'!$E$2,'Dados de entrada'!$E$13*'Dados de entrada'!$E$10/'Dados de entrada'!$B$10,'Dados de entrada'!$E$13*'Dados de entrada'!$E$10/'Dados de entrada'!$B$10*(1-'Dados de entrada'!$E$3)))</f>
        <v>0</v>
      </c>
      <c r="O103" s="71">
        <f ca="1">IF(A103="","",IF(AND(A103='Dados de entrada'!$E$2),(O102*(1+'Dados de entrada'!$B$6)-L103)*(1-'Dados de entrada'!$E$3),IF(AND(A103&lt;&gt;'Dados de entrada'!$A$2),O102*(1+'Dados de entrada'!$B$6)^(C103/30)-L103,"")))</f>
        <v>46678.342802751147</v>
      </c>
      <c r="P103" s="71">
        <f ca="1">IF(A103="","",(O102*((1+'Dados de entrada'!$B$6)^(-DAYS360(B103,B102)/30)-1)-O102*((1+'Dados de entrada'!$H$10)^(-DAYS360(B103,B102)/360)-1))*4.65%)</f>
        <v>44.099427433278478</v>
      </c>
      <c r="Q103" s="75">
        <f ca="1">IF(E103&lt;&gt;"",'Dados de entrada'!$H$5-E103*'Dados de entrada'!$H$6,"")</f>
        <v>0</v>
      </c>
      <c r="R103" s="71">
        <f ca="1">IF(A103="","",IF(A103='Dados de entrada'!$E$2,PV('Dados de entrada'!$B$6,'Dados de entrada'!$B$10-'Dados de entrada'!$E$2+1,+L103*(-'Dados de entrada'!$E$3),,1)+L103*(1-'Dados de entrada'!$E$3)-M103-N103-P103-Q103,L103-M103-N103-P103-Q103))</f>
        <v>2895.3005725667217</v>
      </c>
      <c r="S103" s="74">
        <f t="shared" ca="1" si="33"/>
        <v>3043</v>
      </c>
      <c r="T103" s="67">
        <f ca="1">IF(E103&lt;&gt;"",(-E103)/((1+'Dados de entrada'!$B$6)^(S103/30)),"")</f>
        <v>49.274273536671068</v>
      </c>
      <c r="U103" s="67">
        <f t="shared" ca="1" si="34"/>
        <v>149941.61437209006</v>
      </c>
      <c r="V103" s="71">
        <f ca="1">IF(F103="","",-'Dados de entrada'!$B$2)</f>
        <v>-3000</v>
      </c>
      <c r="X103" s="93">
        <f>+Resumo!$E$12-Resumo!$E$20</f>
        <v>0</v>
      </c>
      <c r="Y103" s="116">
        <f t="shared" si="31"/>
        <v>49255</v>
      </c>
      <c r="Z103" s="81">
        <v>30</v>
      </c>
      <c r="AA103" s="81">
        <f t="shared" ca="1" si="35"/>
        <v>2998</v>
      </c>
      <c r="AB103" s="93">
        <f>IF(A103&lt;='Dados de entrada'!$B$18,'Dados de entrada'!$B$20,0)</f>
        <v>0</v>
      </c>
      <c r="AC103" s="93">
        <f>IF(OR(Resumo!$E$23&gt;0,Resumo!$E$28&gt;0,Resumo!$E$33&gt;0),IF(AND(A103&gt;'Dados de entrada'!$B$18,A103&lt;='Dados de entrada'!$B$10),'Dados de entrada'!$B$21,0),IF(AND(A103&gt;'Dados de entrada'!$B$18,A103&lt;='Dados de entrada'!$B$10),'Dados de entrada'!$B$21,IF(A103&lt;='Dados de entrada'!$B$18,X103,0)))</f>
        <v>3000</v>
      </c>
      <c r="AD103" s="93">
        <f ca="1">AC103/((1+'Dados de entrada'!$D$22)^($AA103/360))</f>
        <v>189.93689311484047</v>
      </c>
      <c r="AE103" s="93">
        <f>IF(A103&lt;='Dados de entrada'!$B$27,'Dados de entrada'!$B$29,0)</f>
        <v>0</v>
      </c>
      <c r="AF103" s="93">
        <f>IF(AND(A103&gt;'Dados de entrada'!$B$27,A103&lt;='Dados de entrada'!$B$10),'Dados de entrada'!$B$30,0)</f>
        <v>0</v>
      </c>
      <c r="AG103" s="93">
        <f ca="1">AF103/((1+'Dados de entrada'!$D$31)^($AA103/360))</f>
        <v>0</v>
      </c>
      <c r="AH103" s="93">
        <f>IF(A103&lt;='Dados de entrada'!$B$36,'Dados de entrada'!$B$38,0)</f>
        <v>0</v>
      </c>
      <c r="AI103" s="93">
        <f>IF(AND(A103&gt;'Dados de entrada'!$B$36,A103&lt;='Dados de entrada'!$B$10),'Dados de entrada'!$B$39,0)</f>
        <v>0</v>
      </c>
      <c r="AJ103" s="93">
        <f ca="1">AI103/((1+'Dados de entrada'!$D$40)^($AA103/360))</f>
        <v>0</v>
      </c>
      <c r="AK103" s="93">
        <f>IF(A103&lt;='Dados de entrada'!$B$45,'Dados de entrada'!$B$47,0)</f>
        <v>0</v>
      </c>
      <c r="AL103" s="93">
        <f>IF(AND(A103&gt;'Dados de entrada'!$B$45,A103&lt;='Dados de entrada'!$B$10),'Dados de entrada'!$B$48,0)</f>
        <v>0</v>
      </c>
      <c r="AM103" s="93">
        <f ca="1">AL103/((1+'Dados de entrada'!$D$49)^($AA103/360))</f>
        <v>0</v>
      </c>
      <c r="AN103" s="85">
        <f t="shared" si="30"/>
        <v>3000</v>
      </c>
    </row>
    <row r="104" spans="1:40">
      <c r="A104" s="69">
        <f>IF(A103="","",IF(A103+1&lt;='Dados de entrada'!$B$10,A103+1,""))</f>
        <v>101</v>
      </c>
      <c r="B104" s="70">
        <f t="shared" si="36"/>
        <v>49285</v>
      </c>
      <c r="C104" s="69">
        <f t="shared" si="37"/>
        <v>30</v>
      </c>
      <c r="D104" s="71">
        <f ca="1">IF(A104="","",F103*(1+'Dados de entrada'!$B$6)^(C104/30))</f>
        <v>9814.4232447662744</v>
      </c>
      <c r="E104" s="71">
        <f ca="1">IF(A104="","",-'Dados de entrada'!$J$20)</f>
        <v>-615.26347669246445</v>
      </c>
      <c r="F104" s="71">
        <f t="shared" ca="1" si="38"/>
        <v>9199.1597680738105</v>
      </c>
      <c r="G104" s="71">
        <f t="shared" ca="1" si="39"/>
        <v>374.00005828094254</v>
      </c>
      <c r="H104" s="69">
        <f t="shared" ca="1" si="40"/>
        <v>3073</v>
      </c>
      <c r="I104" s="71">
        <f ca="1">IF(A104="","",MIN(H104,365)*G104*'Dados de entrada'!$B$11+G104*'Dados de entrada'!$B$12)</f>
        <v>12.61502196581619</v>
      </c>
      <c r="J104" s="71">
        <f t="shared" ca="1" si="41"/>
        <v>-3000</v>
      </c>
      <c r="K104" s="71">
        <f t="shared" ca="1" si="42"/>
        <v>-3000</v>
      </c>
      <c r="L104" s="72">
        <f ca="1">IF(A104="","",IF(A104&lt;='Dados de entrada'!$J$2,-V103,-V103*(1-'Dados de entrada'!$J$3)))</f>
        <v>3000</v>
      </c>
      <c r="M104" s="72">
        <f ca="1">IF(A104="","",L104*'Dados de entrada'!$E$4)</f>
        <v>60.599999999999994</v>
      </c>
      <c r="N104" s="72">
        <f ca="1">IF(A104="","",IF(A104&lt;='Dados de entrada'!$E$2,'Dados de entrada'!$E$13*'Dados de entrada'!$E$10/'Dados de entrada'!$B$10,'Dados de entrada'!$E$13*'Dados de entrada'!$E$10/'Dados de entrada'!$B$10*(1-'Dados de entrada'!$E$3)))</f>
        <v>0</v>
      </c>
      <c r="O104" s="71">
        <f ca="1">IF(A104="","",IF(AND(A104='Dados de entrada'!$E$2),(O103*(1+'Dados de entrada'!$B$6)-L104)*(1-'Dados de entrada'!$E$3),IF(AND(A104&lt;&gt;'Dados de entrada'!$A$2),O103*(1+'Dados de entrada'!$B$6)^(C104/30)-L104,"")))</f>
        <v>44854.733540464847</v>
      </c>
      <c r="P104" s="71">
        <f ca="1">IF(A104="","",(O103*((1+'Dados de entrada'!$B$6)^(-DAYS360(B104,B103)/30)-1)-O103*((1+'Dados de entrada'!$H$10)^(-DAYS360(B104,B103)/360)-1))*4.65%)</f>
        <v>42.480610866708233</v>
      </c>
      <c r="Q104" s="75">
        <f ca="1">IF(E104&lt;&gt;"",'Dados de entrada'!$H$5-E104*'Dados de entrada'!$H$6,"")</f>
        <v>0</v>
      </c>
      <c r="R104" s="71">
        <f ca="1">IF(A104="","",IF(A104='Dados de entrada'!$E$2,PV('Dados de entrada'!$B$6,'Dados de entrada'!$B$10-'Dados de entrada'!$E$2+1,+L104*(-'Dados de entrada'!$E$3),,1)+L104*(1-'Dados de entrada'!$E$3)-M104-N104-P104-Q104,L104-M104-N104-P104-Q104))</f>
        <v>2896.919389133292</v>
      </c>
      <c r="S104" s="74">
        <f t="shared" ca="1" si="33"/>
        <v>3073</v>
      </c>
      <c r="T104" s="67">
        <f ca="1">IF(E104&lt;&gt;"",(-E104)/((1+'Dados de entrada'!$B$6)^(S104/30)),"")</f>
        <v>48.062986905075967</v>
      </c>
      <c r="U104" s="67">
        <f t="shared" ca="1" si="34"/>
        <v>147697.55875929844</v>
      </c>
      <c r="V104" s="71">
        <f ca="1">IF(F104="","",-'Dados de entrada'!$B$2)</f>
        <v>-3000</v>
      </c>
      <c r="X104" s="93">
        <f>+Resumo!$E$12-Resumo!$E$20</f>
        <v>0</v>
      </c>
      <c r="Y104" s="116">
        <f t="shared" si="31"/>
        <v>49285</v>
      </c>
      <c r="Z104" s="81">
        <v>30</v>
      </c>
      <c r="AA104" s="81">
        <f t="shared" ca="1" si="35"/>
        <v>3028</v>
      </c>
      <c r="AB104" s="93">
        <f>IF(A104&lt;='Dados de entrada'!$B$18,'Dados de entrada'!$B$20,0)</f>
        <v>0</v>
      </c>
      <c r="AC104" s="93">
        <f>IF(OR(Resumo!$E$23&gt;0,Resumo!$E$28&gt;0,Resumo!$E$33&gt;0),IF(AND(A104&gt;'Dados de entrada'!$B$18,A104&lt;='Dados de entrada'!$B$10),'Dados de entrada'!$B$21,0),IF(AND(A104&gt;'Dados de entrada'!$B$18,A104&lt;='Dados de entrada'!$B$10),'Dados de entrada'!$B$21,IF(A104&lt;='Dados de entrada'!$B$18,X104,0)))</f>
        <v>3000</v>
      </c>
      <c r="AD104" s="93">
        <f ca="1">AC104/((1+'Dados de entrada'!$D$22)^($AA104/360))</f>
        <v>184.76351470315217</v>
      </c>
      <c r="AE104" s="93">
        <f>IF(A104&lt;='Dados de entrada'!$B$27,'Dados de entrada'!$B$29,0)</f>
        <v>0</v>
      </c>
      <c r="AF104" s="93">
        <f>IF(AND(A104&gt;'Dados de entrada'!$B$27,A104&lt;='Dados de entrada'!$B$10),'Dados de entrada'!$B$30,0)</f>
        <v>0</v>
      </c>
      <c r="AG104" s="93">
        <f ca="1">AF104/((1+'Dados de entrada'!$D$31)^($AA104/360))</f>
        <v>0</v>
      </c>
      <c r="AH104" s="93">
        <f>IF(A104&lt;='Dados de entrada'!$B$36,'Dados de entrada'!$B$38,0)</f>
        <v>0</v>
      </c>
      <c r="AI104" s="93">
        <f>IF(AND(A104&gt;'Dados de entrada'!$B$36,A104&lt;='Dados de entrada'!$B$10),'Dados de entrada'!$B$39,0)</f>
        <v>0</v>
      </c>
      <c r="AJ104" s="93">
        <f ca="1">AI104/((1+'Dados de entrada'!$D$40)^($AA104/360))</f>
        <v>0</v>
      </c>
      <c r="AK104" s="93">
        <f>IF(A104&lt;='Dados de entrada'!$B$45,'Dados de entrada'!$B$47,0)</f>
        <v>0</v>
      </c>
      <c r="AL104" s="93">
        <f>IF(AND(A104&gt;'Dados de entrada'!$B$45,A104&lt;='Dados de entrada'!$B$10),'Dados de entrada'!$B$48,0)</f>
        <v>0</v>
      </c>
      <c r="AM104" s="93">
        <f ca="1">AL104/((1+'Dados de entrada'!$D$49)^($AA104/360))</f>
        <v>0</v>
      </c>
      <c r="AN104" s="85">
        <f t="shared" si="30"/>
        <v>3000</v>
      </c>
    </row>
    <row r="105" spans="1:40">
      <c r="A105" s="69">
        <f>IF(A104="","",IF(A104+1&lt;='Dados de entrada'!$B$10,A104+1,""))</f>
        <v>102</v>
      </c>
      <c r="B105" s="70">
        <f t="shared" si="36"/>
        <v>49316</v>
      </c>
      <c r="C105" s="69">
        <f t="shared" si="37"/>
        <v>30</v>
      </c>
      <c r="D105" s="71">
        <f ca="1">IF(A105="","",F104*(1+'Dados de entrada'!$B$6)^(C105/30))</f>
        <v>9430.9976118387494</v>
      </c>
      <c r="E105" s="71">
        <f ca="1">IF(A105="","",-'Dados de entrada'!$J$20)</f>
        <v>-615.26347669246445</v>
      </c>
      <c r="F105" s="71">
        <f t="shared" ca="1" si="38"/>
        <v>8815.7341351462856</v>
      </c>
      <c r="G105" s="71">
        <f t="shared" ca="1" si="39"/>
        <v>383.42563292752493</v>
      </c>
      <c r="H105" s="69">
        <f t="shared" ca="1" si="40"/>
        <v>3104</v>
      </c>
      <c r="I105" s="71">
        <f ca="1">IF(A105="","",MIN(H105,365)*G105*'Dados de entrada'!$B$11+G105*'Dados de entrada'!$B$12)</f>
        <v>12.932946598645415</v>
      </c>
      <c r="J105" s="71">
        <f t="shared" ca="1" si="41"/>
        <v>-3000</v>
      </c>
      <c r="K105" s="71">
        <f t="shared" ca="1" si="42"/>
        <v>-3000</v>
      </c>
      <c r="L105" s="72">
        <f ca="1">IF(A105="","",IF(A105&lt;='Dados de entrada'!$J$2,-V104,-V104*(1-'Dados de entrada'!$J$3)))</f>
        <v>3000</v>
      </c>
      <c r="M105" s="72">
        <f ca="1">IF(A105="","",L105*'Dados de entrada'!$E$4)</f>
        <v>60.599999999999994</v>
      </c>
      <c r="N105" s="72">
        <f ca="1">IF(A105="","",IF(A105&lt;='Dados de entrada'!$E$2,'Dados de entrada'!$E$13*'Dados de entrada'!$E$10/'Dados de entrada'!$B$10,'Dados de entrada'!$E$13*'Dados de entrada'!$E$10/'Dados de entrada'!$B$10*(1-'Dados de entrada'!$E$3)))</f>
        <v>0</v>
      </c>
      <c r="O105" s="71">
        <f ca="1">IF(A105="","",IF(AND(A105='Dados de entrada'!$E$2),(O104*(1+'Dados de entrada'!$B$6)-L105)*(1-'Dados de entrada'!$E$3),IF(AND(A105&lt;&gt;'Dados de entrada'!$A$2),O104*(1+'Dados de entrada'!$B$6)^(C105/30)-L105,"")))</f>
        <v>42985.165554784537</v>
      </c>
      <c r="P105" s="71">
        <f ca="1">IF(A105="","",(O104*((1+'Dados de entrada'!$B$6)^(-DAYS360(B105,B104)/30)-1)-O104*((1+'Dados de entrada'!$H$10)^(-DAYS360(B105,B104)/360)-1))*4.65%)</f>
        <v>40.820996776048105</v>
      </c>
      <c r="Q105" s="75">
        <f ca="1">IF(E105&lt;&gt;"",'Dados de entrada'!$H$5-E105*'Dados de entrada'!$H$6,"")</f>
        <v>0</v>
      </c>
      <c r="R105" s="71">
        <f ca="1">IF(A105="","",IF(A105='Dados de entrada'!$E$2,PV('Dados de entrada'!$B$6,'Dados de entrada'!$B$10-'Dados de entrada'!$E$2+1,+L105*(-'Dados de entrada'!$E$3),,1)+L105*(1-'Dados de entrada'!$E$3)-M105-N105-P105-Q105,L105-M105-N105-P105-Q105))</f>
        <v>2898.579003223952</v>
      </c>
      <c r="S105" s="74">
        <f t="shared" ca="1" si="33"/>
        <v>3104</v>
      </c>
      <c r="T105" s="67">
        <f ca="1">IF(E105&lt;&gt;"",(-E105)/((1+'Dados de entrada'!$B$6)^(S105/30)),"")</f>
        <v>46.842597322187871</v>
      </c>
      <c r="U105" s="67">
        <f t="shared" ca="1" si="34"/>
        <v>145399.42208807115</v>
      </c>
      <c r="V105" s="71">
        <f ca="1">IF(F105="","",-'Dados de entrada'!$B$2)</f>
        <v>-3000</v>
      </c>
      <c r="X105" s="93">
        <f>+Resumo!$E$12-Resumo!$E$20</f>
        <v>0</v>
      </c>
      <c r="Y105" s="116">
        <f t="shared" si="31"/>
        <v>49316</v>
      </c>
      <c r="Z105" s="81">
        <v>30</v>
      </c>
      <c r="AA105" s="81">
        <f t="shared" ca="1" si="35"/>
        <v>3058</v>
      </c>
      <c r="AB105" s="93">
        <f>IF(A105&lt;='Dados de entrada'!$B$18,'Dados de entrada'!$B$20,0)</f>
        <v>0</v>
      </c>
      <c r="AC105" s="93">
        <f>IF(OR(Resumo!$E$23&gt;0,Resumo!$E$28&gt;0,Resumo!$E$33&gt;0),IF(AND(A105&gt;'Dados de entrada'!$B$18,A105&lt;='Dados de entrada'!$B$10),'Dados de entrada'!$B$21,0),IF(AND(A105&gt;'Dados de entrada'!$B$18,A105&lt;='Dados de entrada'!$B$10),'Dados de entrada'!$B$21,IF(A105&lt;='Dados de entrada'!$B$18,X105,0)))</f>
        <v>3000</v>
      </c>
      <c r="AD105" s="93">
        <f ca="1">AC105/((1+'Dados de entrada'!$D$22)^($AA105/360))</f>
        <v>179.7310454310819</v>
      </c>
      <c r="AE105" s="93">
        <f>IF(A105&lt;='Dados de entrada'!$B$27,'Dados de entrada'!$B$29,0)</f>
        <v>0</v>
      </c>
      <c r="AF105" s="93">
        <f>IF(AND(A105&gt;'Dados de entrada'!$B$27,A105&lt;='Dados de entrada'!$B$10),'Dados de entrada'!$B$30,0)</f>
        <v>0</v>
      </c>
      <c r="AG105" s="93">
        <f ca="1">AF105/((1+'Dados de entrada'!$D$31)^($AA105/360))</f>
        <v>0</v>
      </c>
      <c r="AH105" s="93">
        <f>IF(A105&lt;='Dados de entrada'!$B$36,'Dados de entrada'!$B$38,0)</f>
        <v>0</v>
      </c>
      <c r="AI105" s="93">
        <f>IF(AND(A105&gt;'Dados de entrada'!$B$36,A105&lt;='Dados de entrada'!$B$10),'Dados de entrada'!$B$39,0)</f>
        <v>0</v>
      </c>
      <c r="AJ105" s="93">
        <f ca="1">AI105/((1+'Dados de entrada'!$D$40)^($AA105/360))</f>
        <v>0</v>
      </c>
      <c r="AK105" s="93">
        <f>IF(A105&lt;='Dados de entrada'!$B$45,'Dados de entrada'!$B$47,0)</f>
        <v>0</v>
      </c>
      <c r="AL105" s="93">
        <f>IF(AND(A105&gt;'Dados de entrada'!$B$45,A105&lt;='Dados de entrada'!$B$10),'Dados de entrada'!$B$48,0)</f>
        <v>0</v>
      </c>
      <c r="AM105" s="93">
        <f ca="1">AL105/((1+'Dados de entrada'!$D$49)^($AA105/360))</f>
        <v>0</v>
      </c>
      <c r="AN105" s="85">
        <f t="shared" si="30"/>
        <v>3000</v>
      </c>
    </row>
    <row r="106" spans="1:40">
      <c r="A106" s="69">
        <f>IF(A105="","",IF(A105+1&lt;='Dados de entrada'!$B$10,A105+1,""))</f>
        <v>103</v>
      </c>
      <c r="B106" s="70">
        <f t="shared" si="36"/>
        <v>49347</v>
      </c>
      <c r="C106" s="69">
        <f t="shared" si="37"/>
        <v>30</v>
      </c>
      <c r="D106" s="71">
        <f ca="1">IF(A106="","",F105*(1+'Dados de entrada'!$B$6)^(C106/30))</f>
        <v>9037.9088602978682</v>
      </c>
      <c r="E106" s="71">
        <f ca="1">IF(A106="","",-'Dados de entrada'!$J$20)</f>
        <v>-615.26347669246445</v>
      </c>
      <c r="F106" s="71">
        <f t="shared" ca="1" si="38"/>
        <v>8422.6453836054043</v>
      </c>
      <c r="G106" s="71">
        <f t="shared" ca="1" si="39"/>
        <v>393.08875154088128</v>
      </c>
      <c r="H106" s="69">
        <f t="shared" ca="1" si="40"/>
        <v>3135</v>
      </c>
      <c r="I106" s="71">
        <f ca="1">IF(A106="","",MIN(H106,365)*G106*'Dados de entrada'!$B$11+G106*'Dados de entrada'!$B$12)</f>
        <v>13.258883589473927</v>
      </c>
      <c r="J106" s="71">
        <f t="shared" ca="1" si="41"/>
        <v>-3000</v>
      </c>
      <c r="K106" s="71">
        <f t="shared" ca="1" si="42"/>
        <v>-3000</v>
      </c>
      <c r="L106" s="72">
        <f ca="1">IF(A106="","",IF(A106&lt;='Dados de entrada'!$J$2,-V105,-V105*(1-'Dados de entrada'!$J$3)))</f>
        <v>3000</v>
      </c>
      <c r="M106" s="72">
        <f ca="1">IF(A106="","",L106*'Dados de entrada'!$E$4)</f>
        <v>60.599999999999994</v>
      </c>
      <c r="N106" s="72">
        <f ca="1">IF(A106="","",IF(A106&lt;='Dados de entrada'!$E$2,'Dados de entrada'!$E$13*'Dados de entrada'!$E$10/'Dados de entrada'!$B$10,'Dados de entrada'!$E$13*'Dados de entrada'!$E$10/'Dados de entrada'!$B$10*(1-'Dados de entrada'!$E$3)))</f>
        <v>0</v>
      </c>
      <c r="O106" s="71">
        <f ca="1">IF(A106="","",IF(AND(A106='Dados de entrada'!$E$2),(O105*(1+'Dados de entrada'!$B$6)-L106)*(1-'Dados de entrada'!$E$3),IF(AND(A106&lt;&gt;'Dados de entrada'!$A$2),O105*(1+'Dados de entrada'!$B$6)^(C106/30)-L106,"")))</f>
        <v>41068.48059086928</v>
      </c>
      <c r="P106" s="71">
        <f ca="1">IF(A106="","",(O105*((1+'Dados de entrada'!$B$6)^(-DAYS360(B106,B105)/30)-1)-O105*((1+'Dados de entrada'!$H$10)^(-DAYS360(B106,B105)/360)-1))*4.65%)</f>
        <v>39.119556979349504</v>
      </c>
      <c r="Q106" s="75">
        <f ca="1">IF(E106&lt;&gt;"",'Dados de entrada'!$H$5-E106*'Dados de entrada'!$H$6,"")</f>
        <v>0</v>
      </c>
      <c r="R106" s="71">
        <f ca="1">IF(A106="","",IF(A106='Dados de entrada'!$E$2,PV('Dados de entrada'!$B$6,'Dados de entrada'!$B$10-'Dados de entrada'!$E$2+1,+L106*(-'Dados de entrada'!$E$3),,1)+L106*(1-'Dados de entrada'!$E$3)-M106-N106-P106-Q106,L106-M106-N106-P106-Q106))</f>
        <v>2900.2804430206506</v>
      </c>
      <c r="S106" s="74">
        <f t="shared" ca="1" si="33"/>
        <v>3135</v>
      </c>
      <c r="T106" s="67">
        <f ca="1">IF(E106&lt;&gt;"",(-E106)/((1+'Dados de entrada'!$B$6)^(S106/30)),"")</f>
        <v>45.653195216981132</v>
      </c>
      <c r="U106" s="67">
        <f t="shared" ca="1" si="34"/>
        <v>143122.76700523586</v>
      </c>
      <c r="V106" s="71">
        <f ca="1">IF(F106="","",-'Dados de entrada'!$B$2)</f>
        <v>-3000</v>
      </c>
      <c r="X106" s="93">
        <f>+Resumo!$E$12-Resumo!$E$20</f>
        <v>0</v>
      </c>
      <c r="Y106" s="116">
        <f t="shared" si="31"/>
        <v>49347</v>
      </c>
      <c r="Z106" s="81">
        <v>30</v>
      </c>
      <c r="AA106" s="81">
        <f t="shared" ca="1" si="35"/>
        <v>3088</v>
      </c>
      <c r="AB106" s="93">
        <f>IF(A106&lt;='Dados de entrada'!$B$18,'Dados de entrada'!$B$20,0)</f>
        <v>0</v>
      </c>
      <c r="AC106" s="93">
        <f>IF(OR(Resumo!$E$23&gt;0,Resumo!$E$28&gt;0,Resumo!$E$33&gt;0),IF(AND(A106&gt;'Dados de entrada'!$B$18,A106&lt;='Dados de entrada'!$B$10),'Dados de entrada'!$B$21,0),IF(AND(A106&gt;'Dados de entrada'!$B$18,A106&lt;='Dados de entrada'!$B$10),'Dados de entrada'!$B$21,IF(A106&lt;='Dados de entrada'!$B$18,X106,0)))</f>
        <v>3000</v>
      </c>
      <c r="AD106" s="93">
        <f ca="1">AC106/((1+'Dados de entrada'!$D$22)^($AA106/360))</f>
        <v>174.83564730649994</v>
      </c>
      <c r="AE106" s="93">
        <f>IF(A106&lt;='Dados de entrada'!$B$27,'Dados de entrada'!$B$29,0)</f>
        <v>0</v>
      </c>
      <c r="AF106" s="93">
        <f>IF(AND(A106&gt;'Dados de entrada'!$B$27,A106&lt;='Dados de entrada'!$B$10),'Dados de entrada'!$B$30,0)</f>
        <v>0</v>
      </c>
      <c r="AG106" s="93">
        <f ca="1">AF106/((1+'Dados de entrada'!$D$31)^($AA106/360))</f>
        <v>0</v>
      </c>
      <c r="AH106" s="93">
        <f>IF(A106&lt;='Dados de entrada'!$B$36,'Dados de entrada'!$B$38,0)</f>
        <v>0</v>
      </c>
      <c r="AI106" s="93">
        <f>IF(AND(A106&gt;'Dados de entrada'!$B$36,A106&lt;='Dados de entrada'!$B$10),'Dados de entrada'!$B$39,0)</f>
        <v>0</v>
      </c>
      <c r="AJ106" s="93">
        <f ca="1">AI106/((1+'Dados de entrada'!$D$40)^($AA106/360))</f>
        <v>0</v>
      </c>
      <c r="AK106" s="93">
        <f>IF(A106&lt;='Dados de entrada'!$B$45,'Dados de entrada'!$B$47,0)</f>
        <v>0</v>
      </c>
      <c r="AL106" s="93">
        <f>IF(AND(A106&gt;'Dados de entrada'!$B$45,A106&lt;='Dados de entrada'!$B$10),'Dados de entrada'!$B$48,0)</f>
        <v>0</v>
      </c>
      <c r="AM106" s="93">
        <f ca="1">AL106/((1+'Dados de entrada'!$D$49)^($AA106/360))</f>
        <v>0</v>
      </c>
      <c r="AN106" s="85">
        <f t="shared" si="30"/>
        <v>3000</v>
      </c>
    </row>
    <row r="107" spans="1:40">
      <c r="A107" s="69">
        <f>IF(A106="","",IF(A106+1&lt;='Dados de entrada'!$B$10,A106+1,""))</f>
        <v>104</v>
      </c>
      <c r="B107" s="70">
        <f t="shared" si="36"/>
        <v>49375</v>
      </c>
      <c r="C107" s="69">
        <f t="shared" si="37"/>
        <v>30</v>
      </c>
      <c r="D107" s="71">
        <f ca="1">IF(A107="","",F106*(1+'Dados de entrada'!$B$6)^(C107/30))</f>
        <v>8634.9134595778105</v>
      </c>
      <c r="E107" s="71">
        <f ca="1">IF(A107="","",-'Dados de entrada'!$J$20)</f>
        <v>-615.26347669246445</v>
      </c>
      <c r="F107" s="71">
        <f t="shared" ca="1" si="38"/>
        <v>8019.6499828853457</v>
      </c>
      <c r="G107" s="71">
        <f t="shared" ca="1" si="39"/>
        <v>402.99540072005857</v>
      </c>
      <c r="H107" s="69">
        <f t="shared" ca="1" si="40"/>
        <v>3163</v>
      </c>
      <c r="I107" s="71">
        <f ca="1">IF(A107="","",MIN(H107,365)*G107*'Dados de entrada'!$B$11+G107*'Dados de entrada'!$B$12)</f>
        <v>13.593034866287576</v>
      </c>
      <c r="J107" s="71">
        <f t="shared" ca="1" si="41"/>
        <v>-3000</v>
      </c>
      <c r="K107" s="71">
        <f t="shared" ca="1" si="42"/>
        <v>-3000</v>
      </c>
      <c r="L107" s="72">
        <f ca="1">IF(A107="","",IF(A107&lt;='Dados de entrada'!$J$2,-V106,-V106*(1-'Dados de entrada'!$J$3)))</f>
        <v>3000</v>
      </c>
      <c r="M107" s="72">
        <f ca="1">IF(A107="","",L107*'Dados de entrada'!$E$4)</f>
        <v>60.599999999999994</v>
      </c>
      <c r="N107" s="72">
        <f ca="1">IF(A107="","",IF(A107&lt;='Dados de entrada'!$E$2,'Dados de entrada'!$E$13*'Dados de entrada'!$E$10/'Dados de entrada'!$B$10,'Dados de entrada'!$E$13*'Dados de entrada'!$E$10/'Dados de entrada'!$B$10*(1-'Dados de entrada'!$E$3)))</f>
        <v>0</v>
      </c>
      <c r="O107" s="71">
        <f ca="1">IF(A107="","",IF(AND(A107='Dados de entrada'!$E$2),(O106*(1+'Dados de entrada'!$B$6)-L107)*(1-'Dados de entrada'!$E$3),IF(AND(A107&lt;&gt;'Dados de entrada'!$A$2),O106*(1+'Dados de entrada'!$B$6)^(C107/30)-L107,"")))</f>
        <v>39103.491203461679</v>
      </c>
      <c r="P107" s="71">
        <f ca="1">IF(A107="","",(O106*((1+'Dados de entrada'!$B$6)^(-DAYS360(B107,B106)/30)-1)-O106*((1+'Dados de entrada'!$H$10)^(-DAYS360(B107,B106)/360)-1))*4.65%)</f>
        <v>37.375237382353106</v>
      </c>
      <c r="Q107" s="75">
        <f ca="1">IF(E107&lt;&gt;"",'Dados de entrada'!$H$5-E107*'Dados de entrada'!$H$6,"")</f>
        <v>0</v>
      </c>
      <c r="R107" s="71">
        <f ca="1">IF(A107="","",IF(A107='Dados de entrada'!$E$2,PV('Dados de entrada'!$B$6,'Dados de entrada'!$B$10-'Dados de entrada'!$E$2+1,+L107*(-'Dados de entrada'!$E$3),,1)+L107*(1-'Dados de entrada'!$E$3)-M107-N107-P107-Q107,L107-M107-N107-P107-Q107))</f>
        <v>2902.024762617647</v>
      </c>
      <c r="S107" s="74">
        <f t="shared" ca="1" si="33"/>
        <v>3163</v>
      </c>
      <c r="T107" s="67">
        <f ca="1">IF(E107&lt;&gt;"",(-E107)/((1+'Dados de entrada'!$B$6)^(S107/30)),"")</f>
        <v>44.604876064432759</v>
      </c>
      <c r="U107" s="67">
        <f t="shared" ca="1" si="34"/>
        <v>141085.22299180081</v>
      </c>
      <c r="V107" s="71">
        <f ca="1">IF(F107="","",-'Dados de entrada'!$B$2)</f>
        <v>-3000</v>
      </c>
      <c r="X107" s="93">
        <f>+Resumo!$E$12-Resumo!$E$20</f>
        <v>0</v>
      </c>
      <c r="Y107" s="116">
        <f t="shared" si="31"/>
        <v>49375</v>
      </c>
      <c r="Z107" s="81">
        <v>30</v>
      </c>
      <c r="AA107" s="81">
        <f t="shared" ca="1" si="35"/>
        <v>3118</v>
      </c>
      <c r="AB107" s="93">
        <f>IF(A107&lt;='Dados de entrada'!$B$18,'Dados de entrada'!$B$20,0)</f>
        <v>0</v>
      </c>
      <c r="AC107" s="93">
        <f>IF(OR(Resumo!$E$23&gt;0,Resumo!$E$28&gt;0,Resumo!$E$33&gt;0),IF(AND(A107&gt;'Dados de entrada'!$B$18,A107&lt;='Dados de entrada'!$B$10),'Dados de entrada'!$B$21,0),IF(AND(A107&gt;'Dados de entrada'!$B$18,A107&lt;='Dados de entrada'!$B$10),'Dados de entrada'!$B$21,IF(A107&lt;='Dados de entrada'!$B$18,X107,0)))</f>
        <v>3000</v>
      </c>
      <c r="AD107" s="93">
        <f ca="1">AC107/((1+'Dados de entrada'!$D$22)^($AA107/360))</f>
        <v>170.07358687402714</v>
      </c>
      <c r="AE107" s="93">
        <f>IF(A107&lt;='Dados de entrada'!$B$27,'Dados de entrada'!$B$29,0)</f>
        <v>0</v>
      </c>
      <c r="AF107" s="93">
        <f>IF(AND(A107&gt;'Dados de entrada'!$B$27,A107&lt;='Dados de entrada'!$B$10),'Dados de entrada'!$B$30,0)</f>
        <v>0</v>
      </c>
      <c r="AG107" s="93">
        <f ca="1">AF107/((1+'Dados de entrada'!$D$31)^($AA107/360))</f>
        <v>0</v>
      </c>
      <c r="AH107" s="93">
        <f>IF(A107&lt;='Dados de entrada'!$B$36,'Dados de entrada'!$B$38,0)</f>
        <v>0</v>
      </c>
      <c r="AI107" s="93">
        <f>IF(AND(A107&gt;'Dados de entrada'!$B$36,A107&lt;='Dados de entrada'!$B$10),'Dados de entrada'!$B$39,0)</f>
        <v>0</v>
      </c>
      <c r="AJ107" s="93">
        <f ca="1">AI107/((1+'Dados de entrada'!$D$40)^($AA107/360))</f>
        <v>0</v>
      </c>
      <c r="AK107" s="93">
        <f>IF(A107&lt;='Dados de entrada'!$B$45,'Dados de entrada'!$B$47,0)</f>
        <v>0</v>
      </c>
      <c r="AL107" s="93">
        <f>IF(AND(A107&gt;'Dados de entrada'!$B$45,A107&lt;='Dados de entrada'!$B$10),'Dados de entrada'!$B$48,0)</f>
        <v>0</v>
      </c>
      <c r="AM107" s="93">
        <f ca="1">AL107/((1+'Dados de entrada'!$D$49)^($AA107/360))</f>
        <v>0</v>
      </c>
      <c r="AN107" s="85">
        <f t="shared" si="30"/>
        <v>3000</v>
      </c>
    </row>
    <row r="108" spans="1:40">
      <c r="A108" s="69">
        <f>IF(A107="","",IF(A107+1&lt;='Dados de entrada'!$B$10,A107+1,""))</f>
        <v>105</v>
      </c>
      <c r="B108" s="70">
        <f t="shared" si="36"/>
        <v>49406</v>
      </c>
      <c r="C108" s="69">
        <f t="shared" si="37"/>
        <v>30</v>
      </c>
      <c r="D108" s="71">
        <f ca="1">IF(A108="","",F107*(1+'Dados de entrada'!$B$6)^(C108/30))</f>
        <v>8221.7617416390458</v>
      </c>
      <c r="E108" s="71">
        <f ca="1">IF(A108="","",-'Dados de entrada'!$J$20)</f>
        <v>-615.26347669246445</v>
      </c>
      <c r="F108" s="71">
        <f t="shared" ca="1" si="38"/>
        <v>7606.498264946581</v>
      </c>
      <c r="G108" s="71">
        <f t="shared" ca="1" si="39"/>
        <v>413.1517179387647</v>
      </c>
      <c r="H108" s="69">
        <f t="shared" ca="1" si="40"/>
        <v>3194</v>
      </c>
      <c r="I108" s="71">
        <f ca="1">IF(A108="","",MIN(H108,365)*G108*'Dados de entrada'!$B$11+G108*'Dados de entrada'!$B$12)</f>
        <v>13.935607446074535</v>
      </c>
      <c r="J108" s="71">
        <f t="shared" ca="1" si="41"/>
        <v>-3000</v>
      </c>
      <c r="K108" s="71">
        <f t="shared" ca="1" si="42"/>
        <v>-3000</v>
      </c>
      <c r="L108" s="72">
        <f ca="1">IF(A108="","",IF(A108&lt;='Dados de entrada'!$J$2,-V107,-V107*(1-'Dados de entrada'!$J$3)))</f>
        <v>3000</v>
      </c>
      <c r="M108" s="72">
        <f ca="1">IF(A108="","",L108*'Dados de entrada'!$E$4)</f>
        <v>60.599999999999994</v>
      </c>
      <c r="N108" s="72">
        <f ca="1">IF(A108="","",IF(A108&lt;='Dados de entrada'!$E$2,'Dados de entrada'!$E$13*'Dados de entrada'!$E$10/'Dados de entrada'!$B$10,'Dados de entrada'!$E$13*'Dados de entrada'!$E$10/'Dados de entrada'!$B$10*(1-'Dados de entrada'!$E$3)))</f>
        <v>0</v>
      </c>
      <c r="O108" s="71">
        <f ca="1">IF(A108="","",IF(AND(A108='Dados de entrada'!$E$2),(O107*(1+'Dados de entrada'!$B$6)-L108)*(1-'Dados de entrada'!$E$3),IF(AND(A108&lt;&gt;'Dados de entrada'!$A$2),O107*(1+'Dados de entrada'!$B$6)^(C108/30)-L108,"")))</f>
        <v>37088.980021229007</v>
      </c>
      <c r="P108" s="71">
        <f ca="1">IF(A108="","",(O107*((1+'Dados de entrada'!$B$6)^(-DAYS360(B108,B107)/30)-1)-O107*((1+'Dados de entrada'!$H$10)^(-DAYS360(B108,B107)/360)-1))*4.65%)</f>
        <v>35.586957325445127</v>
      </c>
      <c r="Q108" s="75">
        <f ca="1">IF(E108&lt;&gt;"",'Dados de entrada'!$H$5-E108*'Dados de entrada'!$H$6,"")</f>
        <v>0</v>
      </c>
      <c r="R108" s="71">
        <f ca="1">IF(A108="","",IF(A108='Dados de entrada'!$E$2,PV('Dados de entrada'!$B$6,'Dados de entrada'!$B$10-'Dados de entrada'!$E$2+1,+L108*(-'Dados de entrada'!$E$3),,1)+L108*(1-'Dados de entrada'!$E$3)-M108-N108-P108-Q108,L108-M108-N108-P108-Q108))</f>
        <v>2903.8130426745552</v>
      </c>
      <c r="S108" s="74">
        <f t="shared" ca="1" si="33"/>
        <v>3194</v>
      </c>
      <c r="T108" s="67">
        <f ca="1">IF(E108&lt;&gt;"",(-E108)/((1+'Dados de entrada'!$B$6)^(S108/30)),"")</f>
        <v>43.472292977106996</v>
      </c>
      <c r="U108" s="67">
        <f t="shared" ca="1" si="34"/>
        <v>138850.50376887975</v>
      </c>
      <c r="V108" s="71">
        <f ca="1">IF(F108="","",-'Dados de entrada'!$B$2)</f>
        <v>-3000</v>
      </c>
      <c r="X108" s="93">
        <f>+Resumo!$E$12-Resumo!$E$20</f>
        <v>0</v>
      </c>
      <c r="Y108" s="116">
        <f t="shared" si="31"/>
        <v>49406</v>
      </c>
      <c r="Z108" s="81">
        <v>30</v>
      </c>
      <c r="AA108" s="81">
        <f t="shared" ca="1" si="35"/>
        <v>3148</v>
      </c>
      <c r="AB108" s="93">
        <f>IF(A108&lt;='Dados de entrada'!$B$18,'Dados de entrada'!$B$20,0)</f>
        <v>0</v>
      </c>
      <c r="AC108" s="93">
        <f>IF(OR(Resumo!$E$23&gt;0,Resumo!$E$28&gt;0,Resumo!$E$33&gt;0),IF(AND(A108&gt;'Dados de entrada'!$B$18,A108&lt;='Dados de entrada'!$B$10),'Dados de entrada'!$B$21,0),IF(AND(A108&gt;'Dados de entrada'!$B$18,A108&lt;='Dados de entrada'!$B$10),'Dados de entrada'!$B$21,IF(A108&lt;='Dados de entrada'!$B$18,X108,0)))</f>
        <v>3000</v>
      </c>
      <c r="AD108" s="93">
        <f ca="1">AC108/((1+'Dados de entrada'!$D$22)^($AA108/360))</f>
        <v>165.44123236773069</v>
      </c>
      <c r="AE108" s="93">
        <f>IF(A108&lt;='Dados de entrada'!$B$27,'Dados de entrada'!$B$29,0)</f>
        <v>0</v>
      </c>
      <c r="AF108" s="93">
        <f>IF(AND(A108&gt;'Dados de entrada'!$B$27,A108&lt;='Dados de entrada'!$B$10),'Dados de entrada'!$B$30,0)</f>
        <v>0</v>
      </c>
      <c r="AG108" s="93">
        <f ca="1">AF108/((1+'Dados de entrada'!$D$31)^($AA108/360))</f>
        <v>0</v>
      </c>
      <c r="AH108" s="93">
        <f>IF(A108&lt;='Dados de entrada'!$B$36,'Dados de entrada'!$B$38,0)</f>
        <v>0</v>
      </c>
      <c r="AI108" s="93">
        <f>IF(AND(A108&gt;'Dados de entrada'!$B$36,A108&lt;='Dados de entrada'!$B$10),'Dados de entrada'!$B$39,0)</f>
        <v>0</v>
      </c>
      <c r="AJ108" s="93">
        <f ca="1">AI108/((1+'Dados de entrada'!$D$40)^($AA108/360))</f>
        <v>0</v>
      </c>
      <c r="AK108" s="93">
        <f>IF(A108&lt;='Dados de entrada'!$B$45,'Dados de entrada'!$B$47,0)</f>
        <v>0</v>
      </c>
      <c r="AL108" s="93">
        <f>IF(AND(A108&gt;'Dados de entrada'!$B$45,A108&lt;='Dados de entrada'!$B$10),'Dados de entrada'!$B$48,0)</f>
        <v>0</v>
      </c>
      <c r="AM108" s="93">
        <f ca="1">AL108/((1+'Dados de entrada'!$D$49)^($AA108/360))</f>
        <v>0</v>
      </c>
      <c r="AN108" s="85">
        <f t="shared" si="30"/>
        <v>3000</v>
      </c>
    </row>
    <row r="109" spans="1:40">
      <c r="A109" s="69">
        <f>IF(A108="","",IF(A108+1&lt;='Dados de entrada'!$B$10,A108+1,""))</f>
        <v>106</v>
      </c>
      <c r="B109" s="70">
        <f t="shared" si="36"/>
        <v>49436</v>
      </c>
      <c r="C109" s="69">
        <f t="shared" si="37"/>
        <v>30</v>
      </c>
      <c r="D109" s="71">
        <f ca="1">IF(A109="","",F108*(1+'Dados de entrada'!$B$6)^(C109/30))</f>
        <v>7798.1977462913019</v>
      </c>
      <c r="E109" s="71">
        <f ca="1">IF(A109="","",-'Dados de entrada'!$J$20)</f>
        <v>-615.26347669246445</v>
      </c>
      <c r="F109" s="71">
        <f t="shared" ca="1" si="38"/>
        <v>7182.9342695988371</v>
      </c>
      <c r="G109" s="71">
        <f t="shared" ca="1" si="39"/>
        <v>423.56399534774391</v>
      </c>
      <c r="H109" s="69">
        <f t="shared" ca="1" si="40"/>
        <v>3224</v>
      </c>
      <c r="I109" s="71">
        <f ca="1">IF(A109="","",MIN(H109,365)*G109*'Dados de entrada'!$B$11+G109*'Dados de entrada'!$B$12)</f>
        <v>14.286813563079402</v>
      </c>
      <c r="J109" s="71">
        <f t="shared" ca="1" si="41"/>
        <v>-3000</v>
      </c>
      <c r="K109" s="71">
        <f t="shared" ca="1" si="42"/>
        <v>-3000</v>
      </c>
      <c r="L109" s="72">
        <f ca="1">IF(A109="","",IF(A109&lt;='Dados de entrada'!$J$2,-V108,-V108*(1-'Dados de entrada'!$J$3)))</f>
        <v>3000</v>
      </c>
      <c r="M109" s="72">
        <f ca="1">IF(A109="","",L109*'Dados de entrada'!$E$4)</f>
        <v>60.599999999999994</v>
      </c>
      <c r="N109" s="72">
        <f ca="1">IF(A109="","",IF(A109&lt;='Dados de entrada'!$E$2,'Dados de entrada'!$E$13*'Dados de entrada'!$E$10/'Dados de entrada'!$B$10,'Dados de entrada'!$E$13*'Dados de entrada'!$E$10/'Dados de entrada'!$B$10*(1-'Dados de entrada'!$E$3)))</f>
        <v>0</v>
      </c>
      <c r="O109" s="71">
        <f ca="1">IF(A109="","",IF(AND(A109='Dados de entrada'!$E$2),(O108*(1+'Dados de entrada'!$B$6)-L109)*(1-'Dados de entrada'!$E$3),IF(AND(A109&lt;&gt;'Dados de entrada'!$A$2),O108*(1+'Dados de entrada'!$B$6)^(C109/30)-L109,"")))</f>
        <v>35023.69899256427</v>
      </c>
      <c r="P109" s="71">
        <f ca="1">IF(A109="","",(O108*((1+'Dados de entrada'!$B$6)^(-DAYS360(B109,B108)/30)-1)-O108*((1+'Dados de entrada'!$H$10)^(-DAYS360(B109,B108)/360)-1))*4.65%)</f>
        <v>33.753608914155457</v>
      </c>
      <c r="Q109" s="75">
        <f ca="1">IF(E109&lt;&gt;"",'Dados de entrada'!$H$5-E109*'Dados de entrada'!$H$6,"")</f>
        <v>0</v>
      </c>
      <c r="R109" s="71">
        <f ca="1">IF(A109="","",IF(A109='Dados de entrada'!$E$2,PV('Dados de entrada'!$B$6,'Dados de entrada'!$B$10-'Dados de entrada'!$E$2+1,+L109*(-'Dados de entrada'!$E$3),,1)+L109*(1-'Dados de entrada'!$E$3)-M109-N109-P109-Q109,L109-M109-N109-P109-Q109))</f>
        <v>2905.6463910858447</v>
      </c>
      <c r="S109" s="74">
        <f t="shared" ca="1" si="33"/>
        <v>3224</v>
      </c>
      <c r="T109" s="67">
        <f ca="1">IF(E109&lt;&gt;"",(-E109)/((1+'Dados de entrada'!$B$6)^(S109/30)),"")</f>
        <v>42.403633744845223</v>
      </c>
      <c r="U109" s="67">
        <f t="shared" ca="1" si="34"/>
        <v>136709.31519338099</v>
      </c>
      <c r="V109" s="71">
        <f ca="1">IF(F109="","",-'Dados de entrada'!$B$2)</f>
        <v>-3000</v>
      </c>
      <c r="X109" s="93">
        <f>+Resumo!$E$12-Resumo!$E$20</f>
        <v>0</v>
      </c>
      <c r="Y109" s="116">
        <f t="shared" si="31"/>
        <v>49436</v>
      </c>
      <c r="Z109" s="81">
        <v>30</v>
      </c>
      <c r="AA109" s="81">
        <f t="shared" ca="1" si="35"/>
        <v>3178</v>
      </c>
      <c r="AB109" s="93">
        <f>IF(A109&lt;='Dados de entrada'!$B$18,'Dados de entrada'!$B$20,0)</f>
        <v>0</v>
      </c>
      <c r="AC109" s="93">
        <f>IF(OR(Resumo!$E$23&gt;0,Resumo!$E$28&gt;0,Resumo!$E$33&gt;0),IF(AND(A109&gt;'Dados de entrada'!$B$18,A109&lt;='Dados de entrada'!$B$10),'Dados de entrada'!$B$21,0),IF(AND(A109&gt;'Dados de entrada'!$B$18,A109&lt;='Dados de entrada'!$B$10),'Dados de entrada'!$B$21,IF(A109&lt;='Dados de entrada'!$B$18,X109,0)))</f>
        <v>3000</v>
      </c>
      <c r="AD109" s="93">
        <f ca="1">AC109/((1+'Dados de entrada'!$D$22)^($AA109/360))</f>
        <v>160.93505094137225</v>
      </c>
      <c r="AE109" s="93">
        <f>IF(A109&lt;='Dados de entrada'!$B$27,'Dados de entrada'!$B$29,0)</f>
        <v>0</v>
      </c>
      <c r="AF109" s="93">
        <f>IF(AND(A109&gt;'Dados de entrada'!$B$27,A109&lt;='Dados de entrada'!$B$10),'Dados de entrada'!$B$30,0)</f>
        <v>0</v>
      </c>
      <c r="AG109" s="93">
        <f ca="1">AF109/((1+'Dados de entrada'!$D$31)^($AA109/360))</f>
        <v>0</v>
      </c>
      <c r="AH109" s="93">
        <f>IF(A109&lt;='Dados de entrada'!$B$36,'Dados de entrada'!$B$38,0)</f>
        <v>0</v>
      </c>
      <c r="AI109" s="93">
        <f>IF(AND(A109&gt;'Dados de entrada'!$B$36,A109&lt;='Dados de entrada'!$B$10),'Dados de entrada'!$B$39,0)</f>
        <v>0</v>
      </c>
      <c r="AJ109" s="93">
        <f ca="1">AI109/((1+'Dados de entrada'!$D$40)^($AA109/360))</f>
        <v>0</v>
      </c>
      <c r="AK109" s="93">
        <f>IF(A109&lt;='Dados de entrada'!$B$45,'Dados de entrada'!$B$47,0)</f>
        <v>0</v>
      </c>
      <c r="AL109" s="93">
        <f>IF(AND(A109&gt;'Dados de entrada'!$B$45,A109&lt;='Dados de entrada'!$B$10),'Dados de entrada'!$B$48,0)</f>
        <v>0</v>
      </c>
      <c r="AM109" s="93">
        <f ca="1">AL109/((1+'Dados de entrada'!$D$49)^($AA109/360))</f>
        <v>0</v>
      </c>
      <c r="AN109" s="85">
        <f t="shared" si="30"/>
        <v>3000</v>
      </c>
    </row>
    <row r="110" spans="1:40">
      <c r="A110" s="69">
        <f>IF(A109="","",IF(A109+1&lt;='Dados de entrada'!$B$10,A109+1,""))</f>
        <v>107</v>
      </c>
      <c r="B110" s="70">
        <f t="shared" si="36"/>
        <v>49467</v>
      </c>
      <c r="C110" s="69">
        <f t="shared" si="37"/>
        <v>30</v>
      </c>
      <c r="D110" s="71">
        <f ca="1">IF(A110="","",F109*(1+'Dados de entrada'!$B$6)^(C110/30))</f>
        <v>7363.9590626183599</v>
      </c>
      <c r="E110" s="71">
        <f ca="1">IF(A110="","",-'Dados de entrada'!$J$20)</f>
        <v>-615.26347669246445</v>
      </c>
      <c r="F110" s="71">
        <f t="shared" ca="1" si="38"/>
        <v>6748.6955859258951</v>
      </c>
      <c r="G110" s="71">
        <f t="shared" ca="1" si="39"/>
        <v>434.23868367294199</v>
      </c>
      <c r="H110" s="69">
        <f t="shared" ca="1" si="40"/>
        <v>3255</v>
      </c>
      <c r="I110" s="71">
        <f ca="1">IF(A110="","",MIN(H110,365)*G110*'Dados de entrada'!$B$11+G110*'Dados de entrada'!$B$12)</f>
        <v>14.646870800288333</v>
      </c>
      <c r="J110" s="71">
        <f t="shared" ca="1" si="41"/>
        <v>-3000</v>
      </c>
      <c r="K110" s="71">
        <f t="shared" ca="1" si="42"/>
        <v>-3000</v>
      </c>
      <c r="L110" s="72">
        <f ca="1">IF(A110="","",IF(A110&lt;='Dados de entrada'!$J$2,-V109,-V109*(1-'Dados de entrada'!$J$3)))</f>
        <v>3000</v>
      </c>
      <c r="M110" s="72">
        <f ca="1">IF(A110="","",L110*'Dados de entrada'!$E$4)</f>
        <v>60.599999999999994</v>
      </c>
      <c r="N110" s="72">
        <f ca="1">IF(A110="","",IF(A110&lt;='Dados de entrada'!$E$2,'Dados de entrada'!$E$13*'Dados de entrada'!$E$10/'Dados de entrada'!$B$10,'Dados de entrada'!$E$13*'Dados de entrada'!$E$10/'Dados de entrada'!$B$10*(1-'Dados de entrada'!$E$3)))</f>
        <v>0</v>
      </c>
      <c r="O110" s="71">
        <f ca="1">IF(A110="","",IF(AND(A110='Dados de entrada'!$E$2),(O109*(1+'Dados de entrada'!$B$6)-L110)*(1-'Dados de entrada'!$E$3),IF(AND(A110&lt;&gt;'Dados de entrada'!$A$2),O109*(1+'Dados de entrada'!$B$6)^(C110/30)-L110,"")))</f>
        <v>32906.36861237984</v>
      </c>
      <c r="P110" s="71">
        <f ca="1">IF(A110="","",(O109*((1+'Dados de entrada'!$B$6)^(-DAYS360(B110,B109)/30)-1)-O109*((1+'Dados de entrada'!$H$10)^(-DAYS360(B110,B109)/360)-1))*4.65%)</f>
        <v>31.874056332782953</v>
      </c>
      <c r="Q110" s="75">
        <f ca="1">IF(E110&lt;&gt;"",'Dados de entrada'!$H$5-E110*'Dados de entrada'!$H$6,"")</f>
        <v>0</v>
      </c>
      <c r="R110" s="71">
        <f ca="1">IF(A110="","",IF(A110='Dados de entrada'!$E$2,PV('Dados de entrada'!$B$6,'Dados de entrada'!$B$10-'Dados de entrada'!$E$2+1,+L110*(-'Dados de entrada'!$E$3),,1)+L110*(1-'Dados de entrada'!$E$3)-M110-N110-P110-Q110,L110-M110-N110-P110-Q110))</f>
        <v>2907.5259436672172</v>
      </c>
      <c r="S110" s="74">
        <f t="shared" ca="1" si="33"/>
        <v>3255</v>
      </c>
      <c r="T110" s="67">
        <f ca="1">IF(E110&lt;&gt;"",(-E110)/((1+'Dados de entrada'!$B$6)^(S110/30)),"")</f>
        <v>41.326943421769485</v>
      </c>
      <c r="U110" s="67">
        <f t="shared" ca="1" si="34"/>
        <v>134519.20083785968</v>
      </c>
      <c r="V110" s="71">
        <f ca="1">IF(F110="","",-'Dados de entrada'!$B$2)</f>
        <v>-3000</v>
      </c>
      <c r="X110" s="93">
        <f>+Resumo!$E$12-Resumo!$E$20</f>
        <v>0</v>
      </c>
      <c r="Y110" s="116">
        <f t="shared" si="31"/>
        <v>49467</v>
      </c>
      <c r="Z110" s="81">
        <v>30</v>
      </c>
      <c r="AA110" s="81">
        <f t="shared" ca="1" si="35"/>
        <v>3208</v>
      </c>
      <c r="AB110" s="93">
        <f>IF(A110&lt;='Dados de entrada'!$B$18,'Dados de entrada'!$B$20,0)</f>
        <v>0</v>
      </c>
      <c r="AC110" s="93">
        <f>IF(OR(Resumo!$E$23&gt;0,Resumo!$E$28&gt;0,Resumo!$E$33&gt;0),IF(AND(A110&gt;'Dados de entrada'!$B$18,A110&lt;='Dados de entrada'!$B$10),'Dados de entrada'!$B$21,0),IF(AND(A110&gt;'Dados de entrada'!$B$18,A110&lt;='Dados de entrada'!$B$10),'Dados de entrada'!$B$21,IF(A110&lt;='Dados de entrada'!$B$18,X110,0)))</f>
        <v>3000</v>
      </c>
      <c r="AD110" s="93">
        <f ca="1">AC110/((1+'Dados de entrada'!$D$22)^($AA110/360))</f>
        <v>156.55160597409747</v>
      </c>
      <c r="AE110" s="93">
        <f>IF(A110&lt;='Dados de entrada'!$B$27,'Dados de entrada'!$B$29,0)</f>
        <v>0</v>
      </c>
      <c r="AF110" s="93">
        <f>IF(AND(A110&gt;'Dados de entrada'!$B$27,A110&lt;='Dados de entrada'!$B$10),'Dados de entrada'!$B$30,0)</f>
        <v>0</v>
      </c>
      <c r="AG110" s="93">
        <f ca="1">AF110/((1+'Dados de entrada'!$D$31)^($AA110/360))</f>
        <v>0</v>
      </c>
      <c r="AH110" s="93">
        <f>IF(A110&lt;='Dados de entrada'!$B$36,'Dados de entrada'!$B$38,0)</f>
        <v>0</v>
      </c>
      <c r="AI110" s="93">
        <f>IF(AND(A110&gt;'Dados de entrada'!$B$36,A110&lt;='Dados de entrada'!$B$10),'Dados de entrada'!$B$39,0)</f>
        <v>0</v>
      </c>
      <c r="AJ110" s="93">
        <f ca="1">AI110/((1+'Dados de entrada'!$D$40)^($AA110/360))</f>
        <v>0</v>
      </c>
      <c r="AK110" s="93">
        <f>IF(A110&lt;='Dados de entrada'!$B$45,'Dados de entrada'!$B$47,0)</f>
        <v>0</v>
      </c>
      <c r="AL110" s="93">
        <f>IF(AND(A110&gt;'Dados de entrada'!$B$45,A110&lt;='Dados de entrada'!$B$10),'Dados de entrada'!$B$48,0)</f>
        <v>0</v>
      </c>
      <c r="AM110" s="93">
        <f ca="1">AL110/((1+'Dados de entrada'!$D$49)^($AA110/360))</f>
        <v>0</v>
      </c>
      <c r="AN110" s="85">
        <f t="shared" si="30"/>
        <v>3000</v>
      </c>
    </row>
    <row r="111" spans="1:40">
      <c r="A111" s="69">
        <f>IF(A110="","",IF(A110+1&lt;='Dados de entrada'!$B$10,A110+1,""))</f>
        <v>108</v>
      </c>
      <c r="B111" s="70">
        <f t="shared" si="36"/>
        <v>49497</v>
      </c>
      <c r="C111" s="69">
        <f t="shared" si="37"/>
        <v>30</v>
      </c>
      <c r="D111" s="71">
        <f ca="1">IF(A111="","",F110*(1+'Dados de entrada'!$B$6)^(C111/30))</f>
        <v>6918.7766664064266</v>
      </c>
      <c r="E111" s="71">
        <f ca="1">IF(A111="","",-'Dados de entrada'!$J$20)</f>
        <v>-615.26347669246445</v>
      </c>
      <c r="F111" s="71">
        <f t="shared" ca="1" si="38"/>
        <v>6303.5131897139618</v>
      </c>
      <c r="G111" s="71">
        <f t="shared" ca="1" si="39"/>
        <v>445.18239621193334</v>
      </c>
      <c r="H111" s="69">
        <f t="shared" ca="1" si="40"/>
        <v>3285</v>
      </c>
      <c r="I111" s="71">
        <f ca="1">IF(A111="","",MIN(H111,365)*G111*'Dados de entrada'!$B$11+G111*'Dados de entrada'!$B$12)</f>
        <v>15.016002224228512</v>
      </c>
      <c r="J111" s="71">
        <f t="shared" ca="1" si="41"/>
        <v>-3000</v>
      </c>
      <c r="K111" s="71">
        <f t="shared" ca="1" si="42"/>
        <v>-3000</v>
      </c>
      <c r="L111" s="72">
        <f ca="1">IF(A111="","",IF(A111&lt;='Dados de entrada'!$J$2,-V110,-V110*(1-'Dados de entrada'!$J$3)))</f>
        <v>3000</v>
      </c>
      <c r="M111" s="72">
        <f ca="1">IF(A111="","",L111*'Dados de entrada'!$E$4)</f>
        <v>60.599999999999994</v>
      </c>
      <c r="N111" s="72">
        <f ca="1">IF(A111="","",IF(A111&lt;='Dados de entrada'!$E$2,'Dados de entrada'!$E$13*'Dados de entrada'!$E$10/'Dados de entrada'!$B$10,'Dados de entrada'!$E$13*'Dados de entrada'!$E$10/'Dados de entrada'!$B$10*(1-'Dados de entrada'!$E$3)))</f>
        <v>0</v>
      </c>
      <c r="O111" s="71">
        <f ca="1">IF(A111="","",IF(AND(A111='Dados de entrada'!$E$2),(O110*(1+'Dados de entrada'!$B$6)-L111)*(1-'Dados de entrada'!$E$3),IF(AND(A111&lt;&gt;'Dados de entrada'!$A$2),O110*(1+'Dados de entrada'!$B$6)^(C111/30)-L111,"")))</f>
        <v>30735.67712941474</v>
      </c>
      <c r="P111" s="71">
        <f ca="1">IF(A111="","",(O110*((1+'Dados de entrada'!$B$6)^(-DAYS360(B111,B110)/30)-1)-O110*((1+'Dados de entrada'!$H$10)^(-DAYS360(B111,B110)/360)-1))*4.65%)</f>
        <v>29.947135140722704</v>
      </c>
      <c r="Q111" s="75">
        <f ca="1">IF(E111&lt;&gt;"",'Dados de entrada'!$H$5-E111*'Dados de entrada'!$H$6,"")</f>
        <v>0</v>
      </c>
      <c r="R111" s="71">
        <f ca="1">IF(A111="","",IF(A111='Dados de entrada'!$E$2,PV('Dados de entrada'!$B$6,'Dados de entrada'!$B$10-'Dados de entrada'!$E$2+1,+L111*(-'Dados de entrada'!$E$3),,1)+L111*(1-'Dados de entrada'!$E$3)-M111-N111-P111-Q111,L111-M111-N111-P111-Q111))</f>
        <v>2909.4528648592773</v>
      </c>
      <c r="S111" s="74">
        <f t="shared" ca="1" si="33"/>
        <v>3285</v>
      </c>
      <c r="T111" s="67">
        <f ca="1">IF(E111&lt;&gt;"",(-E111)/((1+'Dados de entrada'!$B$6)^(S111/30)),"")</f>
        <v>40.31102232342549</v>
      </c>
      <c r="U111" s="67">
        <f t="shared" ca="1" si="34"/>
        <v>132421.70833245275</v>
      </c>
      <c r="V111" s="71">
        <f ca="1">IF(F111="","",-'Dados de entrada'!$B$2)</f>
        <v>-3000</v>
      </c>
      <c r="X111" s="93">
        <f>+Resumo!$E$12-Resumo!$E$20</f>
        <v>0</v>
      </c>
      <c r="Y111" s="116">
        <f t="shared" si="31"/>
        <v>49497</v>
      </c>
      <c r="Z111" s="81">
        <v>30</v>
      </c>
      <c r="AA111" s="81">
        <f t="shared" ca="1" si="35"/>
        <v>3238</v>
      </c>
      <c r="AB111" s="93">
        <f>IF(A111&lt;='Dados de entrada'!$B$18,'Dados de entrada'!$B$20,0)</f>
        <v>0</v>
      </c>
      <c r="AC111" s="93">
        <f>IF(OR(Resumo!$E$23&gt;0,Resumo!$E$28&gt;0,Resumo!$E$33&gt;0),IF(AND(A111&gt;'Dados de entrada'!$B$18,A111&lt;='Dados de entrada'!$B$10),'Dados de entrada'!$B$21,0),IF(AND(A111&gt;'Dados de entrada'!$B$18,A111&lt;='Dados de entrada'!$B$10),'Dados de entrada'!$B$21,IF(A111&lt;='Dados de entrada'!$B$18,X111,0)))</f>
        <v>3000</v>
      </c>
      <c r="AD111" s="93">
        <f ca="1">AC111/((1+'Dados de entrada'!$D$22)^($AA111/360))</f>
        <v>152.28755444951125</v>
      </c>
      <c r="AE111" s="93">
        <f>IF(A111&lt;='Dados de entrada'!$B$27,'Dados de entrada'!$B$29,0)</f>
        <v>0</v>
      </c>
      <c r="AF111" s="93">
        <f>IF(AND(A111&gt;'Dados de entrada'!$B$27,A111&lt;='Dados de entrada'!$B$10),'Dados de entrada'!$B$30,0)</f>
        <v>0</v>
      </c>
      <c r="AG111" s="93">
        <f ca="1">AF111/((1+'Dados de entrada'!$D$31)^($AA111/360))</f>
        <v>0</v>
      </c>
      <c r="AH111" s="93">
        <f>IF(A111&lt;='Dados de entrada'!$B$36,'Dados de entrada'!$B$38,0)</f>
        <v>0</v>
      </c>
      <c r="AI111" s="93">
        <f>IF(AND(A111&gt;'Dados de entrada'!$B$36,A111&lt;='Dados de entrada'!$B$10),'Dados de entrada'!$B$39,0)</f>
        <v>0</v>
      </c>
      <c r="AJ111" s="93">
        <f ca="1">AI111/((1+'Dados de entrada'!$D$40)^($AA111/360))</f>
        <v>0</v>
      </c>
      <c r="AK111" s="93">
        <f>IF(A111&lt;='Dados de entrada'!$B$45,'Dados de entrada'!$B$47,0)</f>
        <v>0</v>
      </c>
      <c r="AL111" s="93">
        <f>IF(AND(A111&gt;'Dados de entrada'!$B$45,A111&lt;='Dados de entrada'!$B$10),'Dados de entrada'!$B$48,0)</f>
        <v>0</v>
      </c>
      <c r="AM111" s="93">
        <f ca="1">AL111/((1+'Dados de entrada'!$D$49)^($AA111/360))</f>
        <v>0</v>
      </c>
      <c r="AN111" s="85">
        <f t="shared" si="30"/>
        <v>3000</v>
      </c>
    </row>
    <row r="112" spans="1:40">
      <c r="A112" s="69">
        <f>IF(A111="","",IF(A111+1&lt;='Dados de entrada'!$B$10,A111+1,""))</f>
        <v>109</v>
      </c>
      <c r="B112" s="70">
        <f t="shared" si="36"/>
        <v>49528</v>
      </c>
      <c r="C112" s="69">
        <f t="shared" si="37"/>
        <v>30</v>
      </c>
      <c r="D112" s="71">
        <f ca="1">IF(A112="","",F111*(1+'Dados de entrada'!$B$6)^(C112/30))</f>
        <v>6462.3747534753593</v>
      </c>
      <c r="E112" s="71">
        <f ca="1">IF(A112="","",-'Dados de entrada'!$J$20)</f>
        <v>-615.26347669246445</v>
      </c>
      <c r="F112" s="71">
        <f t="shared" ca="1" si="38"/>
        <v>5847.1112767828945</v>
      </c>
      <c r="G112" s="71">
        <f t="shared" ca="1" si="39"/>
        <v>456.40191293106727</v>
      </c>
      <c r="H112" s="69">
        <f t="shared" ca="1" si="40"/>
        <v>3316</v>
      </c>
      <c r="I112" s="71">
        <f ca="1">IF(A112="","",MIN(H112,365)*G112*'Dados de entrada'!$B$11+G112*'Dados de entrada'!$B$12)</f>
        <v>15.394436523164899</v>
      </c>
      <c r="J112" s="71">
        <f t="shared" ca="1" si="41"/>
        <v>-3000</v>
      </c>
      <c r="K112" s="71">
        <f t="shared" ca="1" si="42"/>
        <v>-3000</v>
      </c>
      <c r="L112" s="72">
        <f ca="1">IF(A112="","",IF(A112&lt;='Dados de entrada'!$J$2,-V111,-V111*(1-'Dados de entrada'!$J$3)))</f>
        <v>3000</v>
      </c>
      <c r="M112" s="72">
        <f ca="1">IF(A112="","",L112*'Dados de entrada'!$E$4)</f>
        <v>60.599999999999994</v>
      </c>
      <c r="N112" s="72">
        <f ca="1">IF(A112="","",IF(A112&lt;='Dados de entrada'!$E$2,'Dados de entrada'!$E$13*'Dados de entrada'!$E$10/'Dados de entrada'!$B$10,'Dados de entrada'!$E$13*'Dados de entrada'!$E$10/'Dados de entrada'!$B$10*(1-'Dados de entrada'!$E$3)))</f>
        <v>0</v>
      </c>
      <c r="O112" s="71">
        <f ca="1">IF(A112="","",IF(AND(A112='Dados de entrada'!$E$2),(O111*(1+'Dados de entrada'!$B$6)-L112)*(1-'Dados de entrada'!$E$3),IF(AND(A112&lt;&gt;'Dados de entrada'!$A$2),O111*(1+'Dados de entrada'!$B$6)^(C112/30)-L112,"")))</f>
        <v>28510.279733564414</v>
      </c>
      <c r="P112" s="71">
        <f ca="1">IF(A112="","",(O111*((1+'Dados de entrada'!$B$6)^(-DAYS360(B112,B111)/30)-1)-O111*((1+'Dados de entrada'!$H$10)^(-DAYS360(B112,B111)/360)-1))*4.65%)</f>
        <v>27.971651551059296</v>
      </c>
      <c r="Q112" s="75">
        <f ca="1">IF(E112&lt;&gt;"",'Dados de entrada'!$H$5-E112*'Dados de entrada'!$H$6,"")</f>
        <v>0</v>
      </c>
      <c r="R112" s="71">
        <f ca="1">IF(A112="","",IF(A112='Dados de entrada'!$E$2,PV('Dados de entrada'!$B$6,'Dados de entrada'!$B$10-'Dados de entrada'!$E$2+1,+L112*(-'Dados de entrada'!$E$3),,1)+L112*(1-'Dados de entrada'!$E$3)-M112-N112-P112-Q112,L112-M112-N112-P112-Q112))</f>
        <v>2911.4283484489406</v>
      </c>
      <c r="S112" s="74">
        <f t="shared" ca="1" si="33"/>
        <v>3316</v>
      </c>
      <c r="T112" s="67">
        <f ca="1">IF(E112&lt;&gt;"",(-E112)/((1+'Dados de entrada'!$B$6)^(S112/30)),"")</f>
        <v>39.287466467102242</v>
      </c>
      <c r="U112" s="67">
        <f t="shared" ca="1" si="34"/>
        <v>130277.23880491103</v>
      </c>
      <c r="V112" s="71">
        <f ca="1">IF(F112="","",-'Dados de entrada'!$B$2)</f>
        <v>-3000</v>
      </c>
      <c r="X112" s="93">
        <f>+Resumo!$E$12-Resumo!$E$20</f>
        <v>0</v>
      </c>
      <c r="Y112" s="116">
        <f t="shared" si="31"/>
        <v>49528</v>
      </c>
      <c r="Z112" s="81">
        <v>30</v>
      </c>
      <c r="AA112" s="81">
        <f t="shared" ca="1" si="35"/>
        <v>3268</v>
      </c>
      <c r="AB112" s="93">
        <f>IF(A112&lt;='Dados de entrada'!$B$18,'Dados de entrada'!$B$20,0)</f>
        <v>0</v>
      </c>
      <c r="AC112" s="93">
        <f>IF(OR(Resumo!$E$23&gt;0,Resumo!$E$28&gt;0,Resumo!$E$33&gt;0),IF(AND(A112&gt;'Dados de entrada'!$B$18,A112&lt;='Dados de entrada'!$B$10),'Dados de entrada'!$B$21,0),IF(AND(A112&gt;'Dados de entrada'!$B$18,A112&lt;='Dados de entrada'!$B$10),'Dados de entrada'!$B$21,IF(A112&lt;='Dados de entrada'!$B$18,X112,0)))</f>
        <v>3000</v>
      </c>
      <c r="AD112" s="93">
        <f ca="1">AC112/((1+'Dados de entrada'!$D$22)^($AA112/360))</f>
        <v>148.1396444061393</v>
      </c>
      <c r="AE112" s="93">
        <f>IF(A112&lt;='Dados de entrada'!$B$27,'Dados de entrada'!$B$29,0)</f>
        <v>0</v>
      </c>
      <c r="AF112" s="93">
        <f>IF(AND(A112&gt;'Dados de entrada'!$B$27,A112&lt;='Dados de entrada'!$B$10),'Dados de entrada'!$B$30,0)</f>
        <v>0</v>
      </c>
      <c r="AG112" s="93">
        <f ca="1">AF112/((1+'Dados de entrada'!$D$31)^($AA112/360))</f>
        <v>0</v>
      </c>
      <c r="AH112" s="93">
        <f>IF(A112&lt;='Dados de entrada'!$B$36,'Dados de entrada'!$B$38,0)</f>
        <v>0</v>
      </c>
      <c r="AI112" s="93">
        <f>IF(AND(A112&gt;'Dados de entrada'!$B$36,A112&lt;='Dados de entrada'!$B$10),'Dados de entrada'!$B$39,0)</f>
        <v>0</v>
      </c>
      <c r="AJ112" s="93">
        <f ca="1">AI112/((1+'Dados de entrada'!$D$40)^($AA112/360))</f>
        <v>0</v>
      </c>
      <c r="AK112" s="93">
        <f>IF(A112&lt;='Dados de entrada'!$B$45,'Dados de entrada'!$B$47,0)</f>
        <v>0</v>
      </c>
      <c r="AL112" s="93">
        <f>IF(AND(A112&gt;'Dados de entrada'!$B$45,A112&lt;='Dados de entrada'!$B$10),'Dados de entrada'!$B$48,0)</f>
        <v>0</v>
      </c>
      <c r="AM112" s="93">
        <f ca="1">AL112/((1+'Dados de entrada'!$D$49)^($AA112/360))</f>
        <v>0</v>
      </c>
      <c r="AN112" s="85">
        <f t="shared" si="30"/>
        <v>3000</v>
      </c>
    </row>
    <row r="113" spans="1:40">
      <c r="A113" s="69">
        <f>IF(A112="","",IF(A112+1&lt;='Dados de entrada'!$B$10,A112+1,""))</f>
        <v>110</v>
      </c>
      <c r="B113" s="70">
        <f t="shared" si="36"/>
        <v>49559</v>
      </c>
      <c r="C113" s="69">
        <f t="shared" si="37"/>
        <v>30</v>
      </c>
      <c r="D113" s="71">
        <f ca="1">IF(A113="","",F112*(1+'Dados de entrada'!$B$6)^(C113/30))</f>
        <v>5994.4705688095019</v>
      </c>
      <c r="E113" s="71">
        <f ca="1">IF(A113="","",-'Dados de entrada'!$J$20)</f>
        <v>-615.26347669246445</v>
      </c>
      <c r="F113" s="71">
        <f t="shared" ca="1" si="38"/>
        <v>5379.2070921170371</v>
      </c>
      <c r="G113" s="71">
        <f t="shared" ca="1" si="39"/>
        <v>467.90418466585743</v>
      </c>
      <c r="H113" s="69">
        <f t="shared" ca="1" si="40"/>
        <v>3347</v>
      </c>
      <c r="I113" s="71">
        <f ca="1">IF(A113="","",MIN(H113,365)*G113*'Dados de entrada'!$B$11+G113*'Dados de entrada'!$B$12)</f>
        <v>15.782408148779371</v>
      </c>
      <c r="J113" s="71">
        <f t="shared" ca="1" si="41"/>
        <v>-3000</v>
      </c>
      <c r="K113" s="71">
        <f t="shared" ca="1" si="42"/>
        <v>-3000</v>
      </c>
      <c r="L113" s="72">
        <f ca="1">IF(A113="","",IF(A113&lt;='Dados de entrada'!$J$2,-V112,-V112*(1-'Dados de entrada'!$J$3)))</f>
        <v>3000</v>
      </c>
      <c r="M113" s="72">
        <f ca="1">IF(A113="","",L113*'Dados de entrada'!$E$4)</f>
        <v>60.599999999999994</v>
      </c>
      <c r="N113" s="72">
        <f ca="1">IF(A113="","",IF(A113&lt;='Dados de entrada'!$E$2,'Dados de entrada'!$E$13*'Dados de entrada'!$E$10/'Dados de entrada'!$B$10,'Dados de entrada'!$E$13*'Dados de entrada'!$E$10/'Dados de entrada'!$B$10*(1-'Dados de entrada'!$E$3)))</f>
        <v>0</v>
      </c>
      <c r="O113" s="71">
        <f ca="1">IF(A113="","",IF(AND(A113='Dados de entrada'!$E$2),(O112*(1+'Dados de entrada'!$B$6)-L113)*(1-'Dados de entrada'!$E$3),IF(AND(A113&lt;&gt;'Dados de entrada'!$A$2),O112*(1+'Dados de entrada'!$B$6)^(C113/30)-L113,"")))</f>
        <v>26228.797722729509</v>
      </c>
      <c r="P113" s="71">
        <f ca="1">IF(A113="","",(O112*((1+'Dados de entrada'!$B$6)^(-DAYS360(B113,B112)/30)-1)-O112*((1+'Dados de entrada'!$H$10)^(-DAYS360(B113,B112)/360)-1))*4.65%)</f>
        <v>25.946381690979088</v>
      </c>
      <c r="Q113" s="75">
        <f ca="1">IF(E113&lt;&gt;"",'Dados de entrada'!$H$5-E113*'Dados de entrada'!$H$6,"")</f>
        <v>0</v>
      </c>
      <c r="R113" s="71">
        <f ca="1">IF(A113="","",IF(A113='Dados de entrada'!$E$2,PV('Dados de entrada'!$B$6,'Dados de entrada'!$B$10-'Dados de entrada'!$E$2+1,+L113*(-'Dados de entrada'!$E$3),,1)+L113*(1-'Dados de entrada'!$E$3)-M113-N113-P113-Q113,L113-M113-N113-P113-Q113))</f>
        <v>2913.4536183090208</v>
      </c>
      <c r="S113" s="74">
        <f t="shared" ca="1" si="33"/>
        <v>3347</v>
      </c>
      <c r="T113" s="67">
        <f ca="1">IF(E113&lt;&gt;"",(-E113)/((1+'Dados de entrada'!$B$6)^(S113/30)),"")</f>
        <v>38.289900192055498</v>
      </c>
      <c r="U113" s="67">
        <f t="shared" ca="1" si="34"/>
        <v>128156.29594280975</v>
      </c>
      <c r="V113" s="71">
        <f ca="1">IF(F113="","",-'Dados de entrada'!$B$2)</f>
        <v>-3000</v>
      </c>
      <c r="X113" s="93">
        <f>+Resumo!$E$12-Resumo!$E$20</f>
        <v>0</v>
      </c>
      <c r="Y113" s="116">
        <f t="shared" si="31"/>
        <v>49559</v>
      </c>
      <c r="Z113" s="81">
        <v>30</v>
      </c>
      <c r="AA113" s="81">
        <f t="shared" ca="1" si="35"/>
        <v>3298</v>
      </c>
      <c r="AB113" s="93">
        <f>IF(A113&lt;='Dados de entrada'!$B$18,'Dados de entrada'!$B$20,0)</f>
        <v>0</v>
      </c>
      <c r="AC113" s="93">
        <f>IF(OR(Resumo!$E$23&gt;0,Resumo!$E$28&gt;0,Resumo!$E$33&gt;0),IF(AND(A113&gt;'Dados de entrada'!$B$18,A113&lt;='Dados de entrada'!$B$10),'Dados de entrada'!$B$21,0),IF(AND(A113&gt;'Dados de entrada'!$B$18,A113&lt;='Dados de entrada'!$B$10),'Dados de entrada'!$B$21,IF(A113&lt;='Dados de entrada'!$B$18,X113,0)))</f>
        <v>3000</v>
      </c>
      <c r="AD113" s="93">
        <f ca="1">AC113/((1+'Dados de entrada'!$D$22)^($AA113/360))</f>
        <v>144.10471245733393</v>
      </c>
      <c r="AE113" s="93">
        <f>IF(A113&lt;='Dados de entrada'!$B$27,'Dados de entrada'!$B$29,0)</f>
        <v>0</v>
      </c>
      <c r="AF113" s="93">
        <f>IF(AND(A113&gt;'Dados de entrada'!$B$27,A113&lt;='Dados de entrada'!$B$10),'Dados de entrada'!$B$30,0)</f>
        <v>0</v>
      </c>
      <c r="AG113" s="93">
        <f ca="1">AF113/((1+'Dados de entrada'!$D$31)^($AA113/360))</f>
        <v>0</v>
      </c>
      <c r="AH113" s="93">
        <f>IF(A113&lt;='Dados de entrada'!$B$36,'Dados de entrada'!$B$38,0)</f>
        <v>0</v>
      </c>
      <c r="AI113" s="93">
        <f>IF(AND(A113&gt;'Dados de entrada'!$B$36,A113&lt;='Dados de entrada'!$B$10),'Dados de entrada'!$B$39,0)</f>
        <v>0</v>
      </c>
      <c r="AJ113" s="93">
        <f ca="1">AI113/((1+'Dados de entrada'!$D$40)^($AA113/360))</f>
        <v>0</v>
      </c>
      <c r="AK113" s="93">
        <f>IF(A113&lt;='Dados de entrada'!$B$45,'Dados de entrada'!$B$47,0)</f>
        <v>0</v>
      </c>
      <c r="AL113" s="93">
        <f>IF(AND(A113&gt;'Dados de entrada'!$B$45,A113&lt;='Dados de entrada'!$B$10),'Dados de entrada'!$B$48,0)</f>
        <v>0</v>
      </c>
      <c r="AM113" s="93">
        <f ca="1">AL113/((1+'Dados de entrada'!$D$49)^($AA113/360))</f>
        <v>0</v>
      </c>
      <c r="AN113" s="85">
        <f t="shared" si="30"/>
        <v>3000</v>
      </c>
    </row>
    <row r="114" spans="1:40">
      <c r="A114" s="69">
        <f>IF(A113="","",IF(A113+1&lt;='Dados de entrada'!$B$10,A113+1,""))</f>
        <v>111</v>
      </c>
      <c r="B114" s="70">
        <f t="shared" si="36"/>
        <v>49589</v>
      </c>
      <c r="C114" s="69">
        <f t="shared" si="37"/>
        <v>30</v>
      </c>
      <c r="D114" s="71">
        <f ca="1">IF(A114="","",F113*(1+'Dados de entrada'!$B$6)^(C114/30))</f>
        <v>5514.7742313822582</v>
      </c>
      <c r="E114" s="71">
        <f ca="1">IF(A114="","",-'Dados de entrada'!$J$20)</f>
        <v>-615.26347669246445</v>
      </c>
      <c r="F114" s="71">
        <f t="shared" ca="1" si="38"/>
        <v>4899.5107546897934</v>
      </c>
      <c r="G114" s="71">
        <f t="shared" ca="1" si="39"/>
        <v>479.69633742724363</v>
      </c>
      <c r="H114" s="69">
        <f t="shared" ca="1" si="40"/>
        <v>3377</v>
      </c>
      <c r="I114" s="71">
        <f ca="1">IF(A114="","",MIN(H114,365)*G114*'Dados de entrada'!$B$11+G114*'Dados de entrada'!$B$12)</f>
        <v>16.180157461420926</v>
      </c>
      <c r="J114" s="71">
        <f t="shared" ca="1" si="41"/>
        <v>-3000</v>
      </c>
      <c r="K114" s="71">
        <f t="shared" ca="1" si="42"/>
        <v>-3000</v>
      </c>
      <c r="L114" s="72">
        <f ca="1">IF(A114="","",IF(A114&lt;='Dados de entrada'!$J$2,-V113,-V113*(1-'Dados de entrada'!$J$3)))</f>
        <v>3000</v>
      </c>
      <c r="M114" s="72">
        <f ca="1">IF(A114="","",L114*'Dados de entrada'!$E$4)</f>
        <v>60.599999999999994</v>
      </c>
      <c r="N114" s="72">
        <f ca="1">IF(A114="","",IF(A114&lt;='Dados de entrada'!$E$2,'Dados de entrada'!$E$13*'Dados de entrada'!$E$10/'Dados de entrada'!$B$10,'Dados de entrada'!$E$13*'Dados de entrada'!$E$10/'Dados de entrada'!$B$10*(1-'Dados de entrada'!$E$3)))</f>
        <v>0</v>
      </c>
      <c r="O114" s="71">
        <f ca="1">IF(A114="","",IF(AND(A114='Dados de entrada'!$E$2),(O113*(1+'Dados de entrada'!$B$6)-L114)*(1-'Dados de entrada'!$E$3),IF(AND(A114&lt;&gt;'Dados de entrada'!$A$2),O113*(1+'Dados de entrada'!$B$6)^(C114/30)-L114,"")))</f>
        <v>23889.817648667551</v>
      </c>
      <c r="P114" s="71">
        <f ca="1">IF(A114="","",(O113*((1+'Dados de entrada'!$B$6)^(-DAYS360(B114,B113)/30)-1)-O113*((1+'Dados de entrada'!$H$10)^(-DAYS360(B114,B113)/360)-1))*4.65%)</f>
        <v>23.870070843543424</v>
      </c>
      <c r="Q114" s="75">
        <f ca="1">IF(E114&lt;&gt;"",'Dados de entrada'!$H$5-E114*'Dados de entrada'!$H$6,"")</f>
        <v>0</v>
      </c>
      <c r="R114" s="71">
        <f ca="1">IF(A114="","",IF(A114='Dados de entrada'!$E$2,PV('Dados de entrada'!$B$6,'Dados de entrada'!$B$10-'Dados de entrada'!$E$2+1,+L114*(-'Dados de entrada'!$E$3),,1)+L114*(1-'Dados de entrada'!$E$3)-M114-N114-P114-Q114,L114-M114-N114-P114-Q114))</f>
        <v>2915.5299291564565</v>
      </c>
      <c r="S114" s="74">
        <f t="shared" ca="1" si="33"/>
        <v>3377</v>
      </c>
      <c r="T114" s="67">
        <f ca="1">IF(E114&lt;&gt;"",(-E114)/((1+'Dados de entrada'!$B$6)^(S114/30)),"")</f>
        <v>37.348637319996492</v>
      </c>
      <c r="U114" s="67">
        <f t="shared" ca="1" si="34"/>
        <v>126126.34822962816</v>
      </c>
      <c r="V114" s="71">
        <f ca="1">IF(F114="","",-'Dados de entrada'!$B$2)</f>
        <v>-3000</v>
      </c>
      <c r="X114" s="93">
        <f>+Resumo!$E$12-Resumo!$E$20</f>
        <v>0</v>
      </c>
      <c r="Y114" s="116">
        <f t="shared" si="31"/>
        <v>49589</v>
      </c>
      <c r="Z114" s="81">
        <v>30</v>
      </c>
      <c r="AA114" s="81">
        <f t="shared" ca="1" si="35"/>
        <v>3328</v>
      </c>
      <c r="AB114" s="93">
        <f>IF(A114&lt;='Dados de entrada'!$B$18,'Dados de entrada'!$B$20,0)</f>
        <v>0</v>
      </c>
      <c r="AC114" s="93">
        <f>IF(OR(Resumo!$E$23&gt;0,Resumo!$E$28&gt;0,Resumo!$E$33&gt;0),IF(AND(A114&gt;'Dados de entrada'!$B$18,A114&lt;='Dados de entrada'!$B$10),'Dados de entrada'!$B$21,0),IF(AND(A114&gt;'Dados de entrada'!$B$18,A114&lt;='Dados de entrada'!$B$10),'Dados de entrada'!$B$21,IF(A114&lt;='Dados de entrada'!$B$18,X114,0)))</f>
        <v>3000</v>
      </c>
      <c r="AD114" s="93">
        <f ca="1">AC114/((1+'Dados de entrada'!$D$22)^($AA114/360))</f>
        <v>140.17968137872958</v>
      </c>
      <c r="AE114" s="93">
        <f>IF(A114&lt;='Dados de entrada'!$B$27,'Dados de entrada'!$B$29,0)</f>
        <v>0</v>
      </c>
      <c r="AF114" s="93">
        <f>IF(AND(A114&gt;'Dados de entrada'!$B$27,A114&lt;='Dados de entrada'!$B$10),'Dados de entrada'!$B$30,0)</f>
        <v>0</v>
      </c>
      <c r="AG114" s="93">
        <f ca="1">AF114/((1+'Dados de entrada'!$D$31)^($AA114/360))</f>
        <v>0</v>
      </c>
      <c r="AH114" s="93">
        <f>IF(A114&lt;='Dados de entrada'!$B$36,'Dados de entrada'!$B$38,0)</f>
        <v>0</v>
      </c>
      <c r="AI114" s="93">
        <f>IF(AND(A114&gt;'Dados de entrada'!$B$36,A114&lt;='Dados de entrada'!$B$10),'Dados de entrada'!$B$39,0)</f>
        <v>0</v>
      </c>
      <c r="AJ114" s="93">
        <f ca="1">AI114/((1+'Dados de entrada'!$D$40)^($AA114/360))</f>
        <v>0</v>
      </c>
      <c r="AK114" s="93">
        <f>IF(A114&lt;='Dados de entrada'!$B$45,'Dados de entrada'!$B$47,0)</f>
        <v>0</v>
      </c>
      <c r="AL114" s="93">
        <f>IF(AND(A114&gt;'Dados de entrada'!$B$45,A114&lt;='Dados de entrada'!$B$10),'Dados de entrada'!$B$48,0)</f>
        <v>0</v>
      </c>
      <c r="AM114" s="93">
        <f ca="1">AL114/((1+'Dados de entrada'!$D$49)^($AA114/360))</f>
        <v>0</v>
      </c>
      <c r="AN114" s="85">
        <f t="shared" si="30"/>
        <v>3000</v>
      </c>
    </row>
    <row r="115" spans="1:40">
      <c r="A115" s="69">
        <f>IF(A114="","",IF(A114+1&lt;='Dados de entrada'!$B$10,A114+1,""))</f>
        <v>112</v>
      </c>
      <c r="B115" s="70">
        <f t="shared" si="36"/>
        <v>49620</v>
      </c>
      <c r="C115" s="69">
        <f t="shared" si="37"/>
        <v>30</v>
      </c>
      <c r="D115" s="71">
        <f ca="1">IF(A115="","",F114*(1+'Dados de entrada'!$B$6)^(C115/30))</f>
        <v>5022.9885545658854</v>
      </c>
      <c r="E115" s="71">
        <f ca="1">IF(A115="","",-'Dados de entrada'!$J$20)</f>
        <v>-615.26347669246445</v>
      </c>
      <c r="F115" s="71">
        <f t="shared" ca="1" si="38"/>
        <v>4407.7250778734206</v>
      </c>
      <c r="G115" s="71">
        <f t="shared" ca="1" si="39"/>
        <v>491.78567681637287</v>
      </c>
      <c r="H115" s="69">
        <f t="shared" ca="1" si="40"/>
        <v>3408</v>
      </c>
      <c r="I115" s="71">
        <f ca="1">IF(A115="","",MIN(H115,365)*G115*'Dados de entrada'!$B$11+G115*'Dados de entrada'!$B$12)</f>
        <v>16.587930879016255</v>
      </c>
      <c r="J115" s="71">
        <f t="shared" ca="1" si="41"/>
        <v>-3000</v>
      </c>
      <c r="K115" s="71">
        <f t="shared" ca="1" si="42"/>
        <v>-3000</v>
      </c>
      <c r="L115" s="72">
        <f ca="1">IF(A115="","",IF(A115&lt;='Dados de entrada'!$J$2,-V114,-V114*(1-'Dados de entrada'!$J$3)))</f>
        <v>3000</v>
      </c>
      <c r="M115" s="72">
        <f ca="1">IF(A115="","",L115*'Dados de entrada'!$E$4)</f>
        <v>60.599999999999994</v>
      </c>
      <c r="N115" s="72">
        <f ca="1">IF(A115="","",IF(A115&lt;='Dados de entrada'!$E$2,'Dados de entrada'!$E$13*'Dados de entrada'!$E$10/'Dados de entrada'!$B$10,'Dados de entrada'!$E$13*'Dados de entrada'!$E$10/'Dados de entrada'!$B$10*(1-'Dados de entrada'!$E$3)))</f>
        <v>0</v>
      </c>
      <c r="O115" s="71">
        <f ca="1">IF(A115="","",IF(AND(A115='Dados de entrada'!$E$2),(O114*(1+'Dados de entrada'!$B$6)-L115)*(1-'Dados de entrada'!$E$3),IF(AND(A115&lt;&gt;'Dados de entrada'!$A$2),O114*(1+'Dados de entrada'!$B$6)^(C115/30)-L115,"")))</f>
        <v>21491.890441318308</v>
      </c>
      <c r="P115" s="71">
        <f ca="1">IF(A115="","",(O114*((1+'Dados de entrada'!$B$6)^(-DAYS360(B115,B114)/30)-1)-O114*((1+'Dados de entrada'!$H$10)^(-DAYS360(B115,B114)/360)-1))*4.65%)</f>
        <v>21.741432670352875</v>
      </c>
      <c r="Q115" s="75">
        <f ca="1">IF(E115&lt;&gt;"",'Dados de entrada'!$H$5-E115*'Dados de entrada'!$H$6,"")</f>
        <v>0</v>
      </c>
      <c r="R115" s="71">
        <f ca="1">IF(A115="","",IF(A115='Dados de entrada'!$E$2,PV('Dados de entrada'!$B$6,'Dados de entrada'!$B$10-'Dados de entrada'!$E$2+1,+L115*(-'Dados de entrada'!$E$3),,1)+L115*(1-'Dados de entrada'!$E$3)-M115-N115-P115-Q115,L115-M115-N115-P115-Q115))</f>
        <v>2917.6585673296472</v>
      </c>
      <c r="S115" s="74">
        <f t="shared" ca="1" si="33"/>
        <v>3408</v>
      </c>
      <c r="T115" s="67">
        <f ca="1">IF(E115&lt;&gt;"",(-E115)/((1+'Dados de entrada'!$B$6)^(S115/30)),"")</f>
        <v>36.400300754680451</v>
      </c>
      <c r="U115" s="67">
        <f t="shared" ca="1" si="34"/>
        <v>124052.22497195097</v>
      </c>
      <c r="V115" s="71">
        <f ca="1">IF(F115="","",-'Dados de entrada'!$B$2)</f>
        <v>-3000</v>
      </c>
      <c r="X115" s="93">
        <f>+Resumo!$E$12-Resumo!$E$20</f>
        <v>0</v>
      </c>
      <c r="Y115" s="116">
        <f t="shared" si="31"/>
        <v>49620</v>
      </c>
      <c r="Z115" s="81">
        <v>30</v>
      </c>
      <c r="AA115" s="81">
        <f t="shared" ca="1" si="35"/>
        <v>3358</v>
      </c>
      <c r="AB115" s="93">
        <f>IF(A115&lt;='Dados de entrada'!$B$18,'Dados de entrada'!$B$20,0)</f>
        <v>0</v>
      </c>
      <c r="AC115" s="93">
        <f>IF(OR(Resumo!$E$23&gt;0,Resumo!$E$28&gt;0,Resumo!$E$33&gt;0),IF(AND(A115&gt;'Dados de entrada'!$B$18,A115&lt;='Dados de entrada'!$B$10),'Dados de entrada'!$B$21,0),IF(AND(A115&gt;'Dados de entrada'!$B$18,A115&lt;='Dados de entrada'!$B$10),'Dados de entrada'!$B$21,IF(A115&lt;='Dados de entrada'!$B$18,X115,0)))</f>
        <v>3000</v>
      </c>
      <c r="AD115" s="93">
        <f ca="1">AC115/((1+'Dados de entrada'!$D$22)^($AA115/360))</f>
        <v>136.36155776141007</v>
      </c>
      <c r="AE115" s="93">
        <f>IF(A115&lt;='Dados de entrada'!$B$27,'Dados de entrada'!$B$29,0)</f>
        <v>0</v>
      </c>
      <c r="AF115" s="93">
        <f>IF(AND(A115&gt;'Dados de entrada'!$B$27,A115&lt;='Dados de entrada'!$B$10),'Dados de entrada'!$B$30,0)</f>
        <v>0</v>
      </c>
      <c r="AG115" s="93">
        <f ca="1">AF115/((1+'Dados de entrada'!$D$31)^($AA115/360))</f>
        <v>0</v>
      </c>
      <c r="AH115" s="93">
        <f>IF(A115&lt;='Dados de entrada'!$B$36,'Dados de entrada'!$B$38,0)</f>
        <v>0</v>
      </c>
      <c r="AI115" s="93">
        <f>IF(AND(A115&gt;'Dados de entrada'!$B$36,A115&lt;='Dados de entrada'!$B$10),'Dados de entrada'!$B$39,0)</f>
        <v>0</v>
      </c>
      <c r="AJ115" s="93">
        <f ca="1">AI115/((1+'Dados de entrada'!$D$40)^($AA115/360))</f>
        <v>0</v>
      </c>
      <c r="AK115" s="93">
        <f>IF(A115&lt;='Dados de entrada'!$B$45,'Dados de entrada'!$B$47,0)</f>
        <v>0</v>
      </c>
      <c r="AL115" s="93">
        <f>IF(AND(A115&gt;'Dados de entrada'!$B$45,A115&lt;='Dados de entrada'!$B$10),'Dados de entrada'!$B$48,0)</f>
        <v>0</v>
      </c>
      <c r="AM115" s="93">
        <f ca="1">AL115/((1+'Dados de entrada'!$D$49)^($AA115/360))</f>
        <v>0</v>
      </c>
      <c r="AN115" s="85">
        <f t="shared" si="30"/>
        <v>3000</v>
      </c>
    </row>
    <row r="116" spans="1:40">
      <c r="A116" s="69">
        <f>IF(A115="","",IF(A115+1&lt;='Dados de entrada'!$B$10,A115+1,""))</f>
        <v>113</v>
      </c>
      <c r="B116" s="70">
        <f t="shared" si="36"/>
        <v>49650</v>
      </c>
      <c r="C116" s="69">
        <f t="shared" si="37"/>
        <v>30</v>
      </c>
      <c r="D116" s="71">
        <f ca="1">IF(A116="","",F115*(1+'Dados de entrada'!$B$6)^(C116/30))</f>
        <v>4518.8088620152403</v>
      </c>
      <c r="E116" s="71">
        <f ca="1">IF(A116="","",-'Dados de entrada'!$J$20)</f>
        <v>-615.26347669246445</v>
      </c>
      <c r="F116" s="71">
        <f t="shared" ca="1" si="38"/>
        <v>3903.5453853227759</v>
      </c>
      <c r="G116" s="71">
        <f t="shared" ca="1" si="39"/>
        <v>504.17969255064463</v>
      </c>
      <c r="H116" s="69">
        <f t="shared" ca="1" si="40"/>
        <v>3438</v>
      </c>
      <c r="I116" s="71">
        <f ca="1">IF(A116="","",MIN(H116,365)*G116*'Dados de entrada'!$B$11+G116*'Dados de entrada'!$B$12)</f>
        <v>17.005981029733242</v>
      </c>
      <c r="J116" s="71">
        <f t="shared" ca="1" si="41"/>
        <v>-3000</v>
      </c>
      <c r="K116" s="71">
        <f t="shared" ca="1" si="42"/>
        <v>-3000</v>
      </c>
      <c r="L116" s="72">
        <f ca="1">IF(A116="","",IF(A116&lt;='Dados de entrada'!$J$2,-V115,-V115*(1-'Dados de entrada'!$J$3)))</f>
        <v>3000</v>
      </c>
      <c r="M116" s="72">
        <f ca="1">IF(A116="","",L116*'Dados de entrada'!$E$4)</f>
        <v>60.599999999999994</v>
      </c>
      <c r="N116" s="72">
        <f ca="1">IF(A116="","",IF(A116&lt;='Dados de entrada'!$E$2,'Dados de entrada'!$E$13*'Dados de entrada'!$E$10/'Dados de entrada'!$B$10,'Dados de entrada'!$E$13*'Dados de entrada'!$E$10/'Dados de entrada'!$B$10*(1-'Dados de entrada'!$E$3)))</f>
        <v>0</v>
      </c>
      <c r="O116" s="71">
        <f ca="1">IF(A116="","",IF(AND(A116='Dados de entrada'!$E$2),(O115*(1+'Dados de entrada'!$B$6)-L116)*(1-'Dados de entrada'!$E$3),IF(AND(A116&lt;&gt;'Dados de entrada'!$A$2),O115*(1+'Dados de entrada'!$B$6)^(C116/30)-L116,"")))</f>
        <v>19033.530511060337</v>
      </c>
      <c r="P116" s="71">
        <f ca="1">IF(A116="","",(O115*((1+'Dados de entrada'!$B$6)^(-DAYS360(B116,B115)/30)-1)-O115*((1+'Dados de entrada'!$H$10)^(-DAYS360(B116,B115)/360)-1))*4.65%)</f>
        <v>19.559148414621077</v>
      </c>
      <c r="Q116" s="75">
        <f ca="1">IF(E116&lt;&gt;"",'Dados de entrada'!$H$5-E116*'Dados de entrada'!$H$6,"")</f>
        <v>0</v>
      </c>
      <c r="R116" s="71">
        <f ca="1">IF(A116="","",IF(A116='Dados de entrada'!$E$2,PV('Dados de entrada'!$B$6,'Dados de entrada'!$B$10-'Dados de entrada'!$E$2+1,+L116*(-'Dados de entrada'!$E$3),,1)+L116*(1-'Dados de entrada'!$E$3)-M116-N116-P116-Q116,L116-M116-N116-P116-Q116))</f>
        <v>2919.8408515853789</v>
      </c>
      <c r="S116" s="74">
        <f t="shared" ca="1" si="33"/>
        <v>3438</v>
      </c>
      <c r="T116" s="67">
        <f ca="1">IF(E116&lt;&gt;"",(-E116)/((1+'Dados de entrada'!$B$6)^(S116/30)),"")</f>
        <v>35.505489029909477</v>
      </c>
      <c r="U116" s="67">
        <f t="shared" ca="1" si="34"/>
        <v>122067.87128482878</v>
      </c>
      <c r="V116" s="71">
        <f ca="1">IF(F116="","",-'Dados de entrada'!$B$2)</f>
        <v>-3000</v>
      </c>
      <c r="X116" s="93">
        <f>+Resumo!$E$12-Resumo!$E$20</f>
        <v>0</v>
      </c>
      <c r="Y116" s="116">
        <f t="shared" si="31"/>
        <v>49650</v>
      </c>
      <c r="Z116" s="81">
        <v>30</v>
      </c>
      <c r="AA116" s="81">
        <f t="shared" ca="1" si="35"/>
        <v>3388</v>
      </c>
      <c r="AB116" s="93">
        <f>IF(A116&lt;='Dados de entrada'!$B$18,'Dados de entrada'!$B$20,0)</f>
        <v>0</v>
      </c>
      <c r="AC116" s="93">
        <f>IF(OR(Resumo!$E$23&gt;0,Resumo!$E$28&gt;0,Resumo!$E$33&gt;0),IF(AND(A116&gt;'Dados de entrada'!$B$18,A116&lt;='Dados de entrada'!$B$10),'Dados de entrada'!$B$21,0),IF(AND(A116&gt;'Dados de entrada'!$B$18,A116&lt;='Dados de entrada'!$B$10),'Dados de entrada'!$B$21,IF(A116&lt;='Dados de entrada'!$B$18,X116,0)))</f>
        <v>3000</v>
      </c>
      <c r="AD116" s="93">
        <f ca="1">AC116/((1+'Dados de entrada'!$D$22)^($AA116/360))</f>
        <v>132.64742972899808</v>
      </c>
      <c r="AE116" s="93">
        <f>IF(A116&lt;='Dados de entrada'!$B$27,'Dados de entrada'!$B$29,0)</f>
        <v>0</v>
      </c>
      <c r="AF116" s="93">
        <f>IF(AND(A116&gt;'Dados de entrada'!$B$27,A116&lt;='Dados de entrada'!$B$10),'Dados de entrada'!$B$30,0)</f>
        <v>0</v>
      </c>
      <c r="AG116" s="93">
        <f ca="1">AF116/((1+'Dados de entrada'!$D$31)^($AA116/360))</f>
        <v>0</v>
      </c>
      <c r="AH116" s="93">
        <f>IF(A116&lt;='Dados de entrada'!$B$36,'Dados de entrada'!$B$38,0)</f>
        <v>0</v>
      </c>
      <c r="AI116" s="93">
        <f>IF(AND(A116&gt;'Dados de entrada'!$B$36,A116&lt;='Dados de entrada'!$B$10),'Dados de entrada'!$B$39,0)</f>
        <v>0</v>
      </c>
      <c r="AJ116" s="93">
        <f ca="1">AI116/((1+'Dados de entrada'!$D$40)^($AA116/360))</f>
        <v>0</v>
      </c>
      <c r="AK116" s="93">
        <f>IF(A116&lt;='Dados de entrada'!$B$45,'Dados de entrada'!$B$47,0)</f>
        <v>0</v>
      </c>
      <c r="AL116" s="93">
        <f>IF(AND(A116&gt;'Dados de entrada'!$B$45,A116&lt;='Dados de entrada'!$B$10),'Dados de entrada'!$B$48,0)</f>
        <v>0</v>
      </c>
      <c r="AM116" s="93">
        <f ca="1">AL116/((1+'Dados de entrada'!$D$49)^($AA116/360))</f>
        <v>0</v>
      </c>
      <c r="AN116" s="85">
        <f t="shared" si="30"/>
        <v>3000</v>
      </c>
    </row>
    <row r="117" spans="1:40">
      <c r="A117" s="69">
        <f>IF(A116="","",IF(A116+1&lt;='Dados de entrada'!$B$10,A116+1,""))</f>
        <v>114</v>
      </c>
      <c r="B117" s="70">
        <f t="shared" si="36"/>
        <v>49681</v>
      </c>
      <c r="C117" s="69">
        <f t="shared" si="37"/>
        <v>30</v>
      </c>
      <c r="D117" s="71">
        <f ca="1">IF(A117="","",F116*(1+'Dados de entrada'!$B$6)^(C117/30))</f>
        <v>4001.9227989114202</v>
      </c>
      <c r="E117" s="71">
        <f ca="1">IF(A117="","",-'Dados de entrada'!$J$20)</f>
        <v>-615.26347669246445</v>
      </c>
      <c r="F117" s="71">
        <f t="shared" ca="1" si="38"/>
        <v>3386.6593222189558</v>
      </c>
      <c r="G117" s="71">
        <f t="shared" ca="1" si="39"/>
        <v>516.88606310382011</v>
      </c>
      <c r="H117" s="69">
        <f t="shared" ca="1" si="40"/>
        <v>3469</v>
      </c>
      <c r="I117" s="71">
        <f ca="1">IF(A117="","",MIN(H117,365)*G117*'Dados de entrada'!$B$11+G117*'Dados de entrada'!$B$12)</f>
        <v>17.434566908491853</v>
      </c>
      <c r="J117" s="71">
        <f t="shared" ca="1" si="41"/>
        <v>-3000</v>
      </c>
      <c r="K117" s="71">
        <f t="shared" ca="1" si="42"/>
        <v>-3000</v>
      </c>
      <c r="L117" s="72">
        <f ca="1">IF(A117="","",IF(A117&lt;='Dados de entrada'!$J$2,-V116,-V116*(1-'Dados de entrada'!$J$3)))</f>
        <v>3000</v>
      </c>
      <c r="M117" s="72">
        <f ca="1">IF(A117="","",L117*'Dados de entrada'!$E$4)</f>
        <v>60.599999999999994</v>
      </c>
      <c r="N117" s="72">
        <f ca="1">IF(A117="","",IF(A117&lt;='Dados de entrada'!$E$2,'Dados de entrada'!$E$13*'Dados de entrada'!$E$10/'Dados de entrada'!$B$10,'Dados de entrada'!$E$13*'Dados de entrada'!$E$10/'Dados de entrada'!$B$10*(1-'Dados de entrada'!$E$3)))</f>
        <v>0</v>
      </c>
      <c r="O117" s="71">
        <f ca="1">IF(A117="","",IF(AND(A117='Dados de entrada'!$E$2),(O116*(1+'Dados de entrada'!$B$6)-L117)*(1-'Dados de entrada'!$E$3),IF(AND(A117&lt;&gt;'Dados de entrada'!$A$2),O116*(1+'Dados de entrada'!$B$6)^(C117/30)-L117,"")))</f>
        <v>16513.214828342541</v>
      </c>
      <c r="P117" s="71">
        <f ca="1">IF(A117="","",(O116*((1+'Dados de entrada'!$B$6)^(-DAYS360(B117,B116)/30)-1)-O116*((1+'Dados de entrada'!$H$10)^(-DAYS360(B117,B116)/360)-1))*4.65%)</f>
        <v>17.321866084164352</v>
      </c>
      <c r="Q117" s="75">
        <f ca="1">IF(E117&lt;&gt;"",'Dados de entrada'!$H$5-E117*'Dados de entrada'!$H$6,"")</f>
        <v>0</v>
      </c>
      <c r="R117" s="71">
        <f ca="1">IF(A117="","",IF(A117='Dados de entrada'!$E$2,PV('Dados de entrada'!$B$6,'Dados de entrada'!$B$10-'Dados de entrada'!$E$2+1,+L117*(-'Dados de entrada'!$E$3),,1)+L117*(1-'Dados de entrada'!$E$3)-M117-N117-P117-Q117,L117-M117-N117-P117-Q117))</f>
        <v>2922.0781339158357</v>
      </c>
      <c r="S117" s="74">
        <f t="shared" ca="1" si="33"/>
        <v>3469</v>
      </c>
      <c r="T117" s="67">
        <f ca="1">IF(E117&lt;&gt;"",(-E117)/((1+'Dados de entrada'!$B$6)^(S117/30)),"")</f>
        <v>34.60395269732517</v>
      </c>
      <c r="U117" s="67">
        <f t="shared" ca="1" si="34"/>
        <v>120041.11190702101</v>
      </c>
      <c r="V117" s="71">
        <f ca="1">IF(F117="","",-'Dados de entrada'!$B$2)</f>
        <v>-3000</v>
      </c>
      <c r="X117" s="93">
        <f>+Resumo!$E$12-Resumo!$E$20</f>
        <v>0</v>
      </c>
      <c r="Y117" s="116">
        <f t="shared" si="31"/>
        <v>49681</v>
      </c>
      <c r="Z117" s="81">
        <v>30</v>
      </c>
      <c r="AA117" s="81">
        <f t="shared" ca="1" si="35"/>
        <v>3418</v>
      </c>
      <c r="AB117" s="93">
        <f>IF(A117&lt;='Dados de entrada'!$B$18,'Dados de entrada'!$B$20,0)</f>
        <v>0</v>
      </c>
      <c r="AC117" s="93">
        <f>IF(OR(Resumo!$E$23&gt;0,Resumo!$E$28&gt;0,Resumo!$E$33&gt;0),IF(AND(A117&gt;'Dados de entrada'!$B$18,A117&lt;='Dados de entrada'!$B$10),'Dados de entrada'!$B$21,0),IF(AND(A117&gt;'Dados de entrada'!$B$18,A117&lt;='Dados de entrada'!$B$10),'Dados de entrada'!$B$21,IF(A117&lt;='Dados de entrada'!$B$18,X117,0)))</f>
        <v>3000</v>
      </c>
      <c r="AD117" s="93">
        <f ca="1">AC117/((1+'Dados de entrada'!$D$22)^($AA117/360))</f>
        <v>129.03446471692422</v>
      </c>
      <c r="AE117" s="93">
        <f>IF(A117&lt;='Dados de entrada'!$B$27,'Dados de entrada'!$B$29,0)</f>
        <v>0</v>
      </c>
      <c r="AF117" s="93">
        <f>IF(AND(A117&gt;'Dados de entrada'!$B$27,A117&lt;='Dados de entrada'!$B$10),'Dados de entrada'!$B$30,0)</f>
        <v>0</v>
      </c>
      <c r="AG117" s="93">
        <f ca="1">AF117/((1+'Dados de entrada'!$D$31)^($AA117/360))</f>
        <v>0</v>
      </c>
      <c r="AH117" s="93">
        <f>IF(A117&lt;='Dados de entrada'!$B$36,'Dados de entrada'!$B$38,0)</f>
        <v>0</v>
      </c>
      <c r="AI117" s="93">
        <f>IF(AND(A117&gt;'Dados de entrada'!$B$36,A117&lt;='Dados de entrada'!$B$10),'Dados de entrada'!$B$39,0)</f>
        <v>0</v>
      </c>
      <c r="AJ117" s="93">
        <f ca="1">AI117/((1+'Dados de entrada'!$D$40)^($AA117/360))</f>
        <v>0</v>
      </c>
      <c r="AK117" s="93">
        <f>IF(A117&lt;='Dados de entrada'!$B$45,'Dados de entrada'!$B$47,0)</f>
        <v>0</v>
      </c>
      <c r="AL117" s="93">
        <f>IF(AND(A117&gt;'Dados de entrada'!$B$45,A117&lt;='Dados de entrada'!$B$10),'Dados de entrada'!$B$48,0)</f>
        <v>0</v>
      </c>
      <c r="AM117" s="93">
        <f ca="1">AL117/((1+'Dados de entrada'!$D$49)^($AA117/360))</f>
        <v>0</v>
      </c>
      <c r="AN117" s="85">
        <f t="shared" si="30"/>
        <v>3000</v>
      </c>
    </row>
    <row r="118" spans="1:40">
      <c r="A118" s="69">
        <f>IF(A117="","",IF(A117+1&lt;='Dados de entrada'!$B$10,A117+1,""))</f>
        <v>115</v>
      </c>
      <c r="B118" s="70">
        <f t="shared" si="36"/>
        <v>49712</v>
      </c>
      <c r="C118" s="69">
        <f t="shared" si="37"/>
        <v>30</v>
      </c>
      <c r="D118" s="71">
        <f ca="1">IF(A118="","",F117*(1+'Dados de entrada'!$B$6)^(C118/30))</f>
        <v>3472.0101384483469</v>
      </c>
      <c r="E118" s="71">
        <f ca="1">IF(A118="","",-'Dados de entrada'!$J$20)</f>
        <v>-615.26347669246445</v>
      </c>
      <c r="F118" s="71">
        <f t="shared" ca="1" si="38"/>
        <v>2856.7466617558825</v>
      </c>
      <c r="G118" s="71">
        <f t="shared" ca="1" si="39"/>
        <v>529.91266046307328</v>
      </c>
      <c r="H118" s="69">
        <f t="shared" ca="1" si="40"/>
        <v>3500</v>
      </c>
      <c r="I118" s="71">
        <f ca="1">IF(A118="","",MIN(H118,365)*G118*'Dados de entrada'!$B$11+G118*'Dados de entrada'!$B$12)</f>
        <v>17.873954037419463</v>
      </c>
      <c r="J118" s="71">
        <f t="shared" ca="1" si="41"/>
        <v>-3000</v>
      </c>
      <c r="K118" s="71">
        <f t="shared" ca="1" si="42"/>
        <v>-3000</v>
      </c>
      <c r="L118" s="72">
        <f ca="1">IF(A118="","",IF(A118&lt;='Dados de entrada'!$J$2,-V117,-V117*(1-'Dados de entrada'!$J$3)))</f>
        <v>3000</v>
      </c>
      <c r="M118" s="72">
        <f ca="1">IF(A118="","",L118*'Dados de entrada'!$E$4)</f>
        <v>60.599999999999994</v>
      </c>
      <c r="N118" s="72">
        <f ca="1">IF(A118="","",IF(A118&lt;='Dados de entrada'!$E$2,'Dados de entrada'!$E$13*'Dados de entrada'!$E$10/'Dados de entrada'!$B$10,'Dados de entrada'!$E$13*'Dados de entrada'!$E$10/'Dados de entrada'!$B$10*(1-'Dados de entrada'!$E$3)))</f>
        <v>0</v>
      </c>
      <c r="O118" s="71">
        <f ca="1">IF(A118="","",IF(AND(A118='Dados de entrada'!$E$2),(O117*(1+'Dados de entrada'!$B$6)-L118)*(1-'Dados de entrada'!$E$3),IF(AND(A118&lt;&gt;'Dados de entrada'!$A$2),O117*(1+'Dados de entrada'!$B$6)^(C118/30)-L118,"")))</f>
        <v>13929.381980120554</v>
      </c>
      <c r="P118" s="71">
        <f ca="1">IF(A118="","",(O117*((1+'Dados de entrada'!$B$6)^(-DAYS360(B118,B117)/30)-1)-O117*((1+'Dados de entrada'!$H$10)^(-DAYS360(B118,B117)/360)-1))*4.65%)</f>
        <v>15.028199613801004</v>
      </c>
      <c r="Q118" s="75">
        <f ca="1">IF(E118&lt;&gt;"",'Dados de entrada'!$H$5-E118*'Dados de entrada'!$H$6,"")</f>
        <v>0</v>
      </c>
      <c r="R118" s="71">
        <f ca="1">IF(A118="","",IF(A118='Dados de entrada'!$E$2,PV('Dados de entrada'!$B$6,'Dados de entrada'!$B$10-'Dados de entrada'!$E$2+1,+L118*(-'Dados de entrada'!$E$3),,1)+L118*(1-'Dados de entrada'!$E$3)-M118-N118-P118-Q118,L118-M118-N118-P118-Q118))</f>
        <v>2924.3718003861991</v>
      </c>
      <c r="S118" s="74">
        <f t="shared" ca="1" si="33"/>
        <v>3500</v>
      </c>
      <c r="T118" s="67">
        <f ca="1">IF(E118&lt;&gt;"",(-E118)/((1+'Dados de entrada'!$B$6)^(S118/30)),"")</f>
        <v>33.725307691720893</v>
      </c>
      <c r="U118" s="67">
        <f t="shared" ca="1" si="34"/>
        <v>118038.57692102312</v>
      </c>
      <c r="V118" s="71">
        <f ca="1">IF(F118="","",-'Dados de entrada'!$B$2)</f>
        <v>-3000</v>
      </c>
      <c r="X118" s="93">
        <f>+Resumo!$E$12-Resumo!$E$20</f>
        <v>0</v>
      </c>
      <c r="Y118" s="116">
        <f t="shared" si="31"/>
        <v>49712</v>
      </c>
      <c r="Z118" s="81">
        <v>30</v>
      </c>
      <c r="AA118" s="81">
        <f t="shared" ca="1" si="35"/>
        <v>3448</v>
      </c>
      <c r="AB118" s="93">
        <f>IF(A118&lt;='Dados de entrada'!$B$18,'Dados de entrada'!$B$20,0)</f>
        <v>0</v>
      </c>
      <c r="AC118" s="93">
        <f>IF(OR(Resumo!$E$23&gt;0,Resumo!$E$28&gt;0,Resumo!$E$33&gt;0),IF(AND(A118&gt;'Dados de entrada'!$B$18,A118&lt;='Dados de entrada'!$B$10),'Dados de entrada'!$B$21,0),IF(AND(A118&gt;'Dados de entrada'!$B$18,A118&lt;='Dados de entrada'!$B$10),'Dados de entrada'!$B$21,IF(A118&lt;='Dados de entrada'!$B$18,X118,0)))</f>
        <v>3000</v>
      </c>
      <c r="AD118" s="93">
        <f ca="1">AC118/((1+'Dados de entrada'!$D$22)^($AA118/360))</f>
        <v>125.51990731218308</v>
      </c>
      <c r="AE118" s="93">
        <f>IF(A118&lt;='Dados de entrada'!$B$27,'Dados de entrada'!$B$29,0)</f>
        <v>0</v>
      </c>
      <c r="AF118" s="93">
        <f>IF(AND(A118&gt;'Dados de entrada'!$B$27,A118&lt;='Dados de entrada'!$B$10),'Dados de entrada'!$B$30,0)</f>
        <v>0</v>
      </c>
      <c r="AG118" s="93">
        <f ca="1">AF118/((1+'Dados de entrada'!$D$31)^($AA118/360))</f>
        <v>0</v>
      </c>
      <c r="AH118" s="93">
        <f>IF(A118&lt;='Dados de entrada'!$B$36,'Dados de entrada'!$B$38,0)</f>
        <v>0</v>
      </c>
      <c r="AI118" s="93">
        <f>IF(AND(A118&gt;'Dados de entrada'!$B$36,A118&lt;='Dados de entrada'!$B$10),'Dados de entrada'!$B$39,0)</f>
        <v>0</v>
      </c>
      <c r="AJ118" s="93">
        <f ca="1">AI118/((1+'Dados de entrada'!$D$40)^($AA118/360))</f>
        <v>0</v>
      </c>
      <c r="AK118" s="93">
        <f>IF(A118&lt;='Dados de entrada'!$B$45,'Dados de entrada'!$B$47,0)</f>
        <v>0</v>
      </c>
      <c r="AL118" s="93">
        <f>IF(AND(A118&gt;'Dados de entrada'!$B$45,A118&lt;='Dados de entrada'!$B$10),'Dados de entrada'!$B$48,0)</f>
        <v>0</v>
      </c>
      <c r="AM118" s="93">
        <f ca="1">AL118/((1+'Dados de entrada'!$D$49)^($AA118/360))</f>
        <v>0</v>
      </c>
      <c r="AN118" s="85">
        <f t="shared" si="30"/>
        <v>3000</v>
      </c>
    </row>
    <row r="119" spans="1:40">
      <c r="A119" s="69">
        <f>IF(A118="","",IF(A118+1&lt;='Dados de entrada'!$B$10,A118+1,""))</f>
        <v>116</v>
      </c>
      <c r="B119" s="70">
        <f t="shared" si="36"/>
        <v>49741</v>
      </c>
      <c r="C119" s="69">
        <f t="shared" si="37"/>
        <v>30</v>
      </c>
      <c r="D119" s="71">
        <f ca="1">IF(A119="","",F118*(1+'Dados de entrada'!$B$6)^(C119/30))</f>
        <v>2928.7425834424184</v>
      </c>
      <c r="E119" s="71">
        <f ca="1">IF(A119="","",-'Dados de entrada'!$J$20)</f>
        <v>-615.26347669246445</v>
      </c>
      <c r="F119" s="71">
        <f t="shared" ca="1" si="38"/>
        <v>2313.4791067499541</v>
      </c>
      <c r="G119" s="71">
        <f t="shared" ca="1" si="39"/>
        <v>543.26755500592844</v>
      </c>
      <c r="H119" s="69">
        <f t="shared" ca="1" si="40"/>
        <v>3529</v>
      </c>
      <c r="I119" s="71">
        <f ca="1">IF(A119="","",MIN(H119,365)*G119*'Dados de entrada'!$B$11+G119*'Dados de entrada'!$B$12)</f>
        <v>18.324414630349967</v>
      </c>
      <c r="J119" s="71">
        <f t="shared" ca="1" si="41"/>
        <v>-3000</v>
      </c>
      <c r="K119" s="71">
        <f t="shared" ca="1" si="42"/>
        <v>-3000</v>
      </c>
      <c r="L119" s="72">
        <f ca="1">IF(A119="","",IF(A119&lt;='Dados de entrada'!$J$2,-V118,-V118*(1-'Dados de entrada'!$J$3)))</f>
        <v>3000</v>
      </c>
      <c r="M119" s="72">
        <f ca="1">IF(A119="","",L119*'Dados de entrada'!$E$4)</f>
        <v>60.599999999999994</v>
      </c>
      <c r="N119" s="72">
        <f ca="1">IF(A119="","",IF(A119&lt;='Dados de entrada'!$E$2,'Dados de entrada'!$E$13*'Dados de entrada'!$E$10/'Dados de entrada'!$B$10,'Dados de entrada'!$E$13*'Dados de entrada'!$E$10/'Dados de entrada'!$B$10*(1-'Dados de entrada'!$E$3)))</f>
        <v>0</v>
      </c>
      <c r="O119" s="71">
        <f ca="1">IF(A119="","",IF(AND(A119='Dados de entrada'!$E$2),(O118*(1+'Dados de entrada'!$B$6)-L119)*(1-'Dados de entrada'!$E$3),IF(AND(A119&lt;&gt;'Dados de entrada'!$A$2),O118*(1+'Dados de entrada'!$B$6)^(C119/30)-L119,"")))</f>
        <v>11280.431202513344</v>
      </c>
      <c r="P119" s="71">
        <f ca="1">IF(A119="","",(O118*((1+'Dados de entrada'!$B$6)^(-DAYS360(B119,B118)/30)-1)-O118*((1+'Dados de entrada'!$H$10)^(-DAYS360(B119,B118)/360)-1))*4.65%)</f>
        <v>12.676728006641305</v>
      </c>
      <c r="Q119" s="75">
        <f ca="1">IF(E119&lt;&gt;"",'Dados de entrada'!$H$5-E119*'Dados de entrada'!$H$6,"")</f>
        <v>0</v>
      </c>
      <c r="R119" s="71">
        <f ca="1">IF(A119="","",IF(A119='Dados de entrada'!$E$2,PV('Dados de entrada'!$B$6,'Dados de entrada'!$B$10-'Dados de entrada'!$E$2+1,+L119*(-'Dados de entrada'!$E$3),,1)+L119*(1-'Dados de entrada'!$E$3)-M119-N119-P119-Q119,L119-M119-N119-P119-Q119))</f>
        <v>2926.7232719933586</v>
      </c>
      <c r="S119" s="74">
        <f t="shared" ca="1" si="33"/>
        <v>3529</v>
      </c>
      <c r="T119" s="67">
        <f ca="1">IF(E119&lt;&gt;"",(-E119)/((1+'Dados de entrada'!$B$6)^(S119/30)),"")</f>
        <v>32.923558038278273</v>
      </c>
      <c r="U119" s="67">
        <f t="shared" ca="1" si="34"/>
        <v>116187.23631708403</v>
      </c>
      <c r="V119" s="71">
        <f ca="1">IF(F119="","",-'Dados de entrada'!$B$2)</f>
        <v>-3000</v>
      </c>
      <c r="X119" s="93">
        <f>+Resumo!$E$12-Resumo!$E$20</f>
        <v>0</v>
      </c>
      <c r="Y119" s="116">
        <f t="shared" si="31"/>
        <v>49741</v>
      </c>
      <c r="Z119" s="81">
        <v>30</v>
      </c>
      <c r="AA119" s="81">
        <f t="shared" ca="1" si="35"/>
        <v>3478</v>
      </c>
      <c r="AB119" s="93">
        <f>IF(A119&lt;='Dados de entrada'!$B$18,'Dados de entrada'!$B$20,0)</f>
        <v>0</v>
      </c>
      <c r="AC119" s="93">
        <f>IF(OR(Resumo!$E$23&gt;0,Resumo!$E$28&gt;0,Resumo!$E$33&gt;0),IF(AND(A119&gt;'Dados de entrada'!$B$18,A119&lt;='Dados de entrada'!$B$10),'Dados de entrada'!$B$21,0),IF(AND(A119&gt;'Dados de entrada'!$B$18,A119&lt;='Dados de entrada'!$B$10),'Dados de entrada'!$B$21,IF(A119&lt;='Dados de entrada'!$B$18,X119,0)))</f>
        <v>3000</v>
      </c>
      <c r="AD119" s="93">
        <f ca="1">AC119/((1+'Dados de entrada'!$D$22)^($AA119/360))</f>
        <v>122.10107715192902</v>
      </c>
      <c r="AE119" s="93">
        <f>IF(A119&lt;='Dados de entrada'!$B$27,'Dados de entrada'!$B$29,0)</f>
        <v>0</v>
      </c>
      <c r="AF119" s="93">
        <f>IF(AND(A119&gt;'Dados de entrada'!$B$27,A119&lt;='Dados de entrada'!$B$10),'Dados de entrada'!$B$30,0)</f>
        <v>0</v>
      </c>
      <c r="AG119" s="93">
        <f ca="1">AF119/((1+'Dados de entrada'!$D$31)^($AA119/360))</f>
        <v>0</v>
      </c>
      <c r="AH119" s="93">
        <f>IF(A119&lt;='Dados de entrada'!$B$36,'Dados de entrada'!$B$38,0)</f>
        <v>0</v>
      </c>
      <c r="AI119" s="93">
        <f>IF(AND(A119&gt;'Dados de entrada'!$B$36,A119&lt;='Dados de entrada'!$B$10),'Dados de entrada'!$B$39,0)</f>
        <v>0</v>
      </c>
      <c r="AJ119" s="93">
        <f ca="1">AI119/((1+'Dados de entrada'!$D$40)^($AA119/360))</f>
        <v>0</v>
      </c>
      <c r="AK119" s="93">
        <f>IF(A119&lt;='Dados de entrada'!$B$45,'Dados de entrada'!$B$47,0)</f>
        <v>0</v>
      </c>
      <c r="AL119" s="93">
        <f>IF(AND(A119&gt;'Dados de entrada'!$B$45,A119&lt;='Dados de entrada'!$B$10),'Dados de entrada'!$B$48,0)</f>
        <v>0</v>
      </c>
      <c r="AM119" s="93">
        <f ca="1">AL119/((1+'Dados de entrada'!$D$49)^($AA119/360))</f>
        <v>0</v>
      </c>
      <c r="AN119" s="85">
        <f t="shared" si="30"/>
        <v>3000</v>
      </c>
    </row>
    <row r="120" spans="1:40">
      <c r="A120" s="69">
        <f>IF(A119="","",IF(A119+1&lt;='Dados de entrada'!$B$10,A119+1,""))</f>
        <v>117</v>
      </c>
      <c r="B120" s="70">
        <f t="shared" si="36"/>
        <v>49772</v>
      </c>
      <c r="C120" s="69">
        <f t="shared" si="37"/>
        <v>30</v>
      </c>
      <c r="D120" s="71">
        <f ca="1">IF(A120="","",F119*(1+'Dados de entrada'!$B$6)^(C120/30))</f>
        <v>2371.7835629423107</v>
      </c>
      <c r="E120" s="71">
        <f ca="1">IF(A120="","",-'Dados de entrada'!$J$20)</f>
        <v>-615.26347669246445</v>
      </c>
      <c r="F120" s="71">
        <f t="shared" ca="1" si="38"/>
        <v>1756.5200862498464</v>
      </c>
      <c r="G120" s="71">
        <f t="shared" ca="1" si="39"/>
        <v>556.95902050010773</v>
      </c>
      <c r="H120" s="69">
        <f t="shared" ca="1" si="40"/>
        <v>3560</v>
      </c>
      <c r="I120" s="71">
        <f ca="1">IF(A120="","",MIN(H120,365)*G120*'Dados de entrada'!$B$11+G120*'Dados de entrada'!$B$12)</f>
        <v>18.786227761468634</v>
      </c>
      <c r="J120" s="71">
        <f t="shared" ca="1" si="41"/>
        <v>-3000</v>
      </c>
      <c r="K120" s="71">
        <f t="shared" ca="1" si="42"/>
        <v>-3000</v>
      </c>
      <c r="L120" s="72">
        <f ca="1">IF(A120="","",IF(A120&lt;='Dados de entrada'!$J$2,-V119,-V119*(1-'Dados de entrada'!$J$3)))</f>
        <v>3000</v>
      </c>
      <c r="M120" s="72">
        <f ca="1">IF(A120="","",L120*'Dados de entrada'!$E$4)</f>
        <v>60.599999999999994</v>
      </c>
      <c r="N120" s="72">
        <f ca="1">IF(A120="","",IF(A120&lt;='Dados de entrada'!$E$2,'Dados de entrada'!$E$13*'Dados de entrada'!$E$10/'Dados de entrada'!$B$10,'Dados de entrada'!$E$13*'Dados de entrada'!$E$10/'Dados de entrada'!$B$10*(1-'Dados de entrada'!$E$3)))</f>
        <v>0</v>
      </c>
      <c r="O120" s="71">
        <f ca="1">IF(A120="","",IF(AND(A120='Dados de entrada'!$E$2),(O119*(1+'Dados de entrada'!$B$6)-L120)*(1-'Dados de entrada'!$E$3),IF(AND(A120&lt;&gt;'Dados de entrada'!$A$2),O119*(1+'Dados de entrada'!$B$6)^(C120/30)-L120,"")))</f>
        <v>8564.7213890807889</v>
      </c>
      <c r="P120" s="71">
        <f ca="1">IF(A120="","",(O119*((1+'Dados de entrada'!$B$6)^(-DAYS360(B120,B119)/30)-1)-O119*((1+'Dados de entrada'!$H$10)^(-DAYS360(B120,B119)/360)-1))*4.65%)</f>
        <v>10.265994453736255</v>
      </c>
      <c r="Q120" s="75">
        <f ca="1">IF(E120&lt;&gt;"",'Dados de entrada'!$H$5-E120*'Dados de entrada'!$H$6,"")</f>
        <v>0</v>
      </c>
      <c r="R120" s="71">
        <f ca="1">IF(A120="","",IF(A120='Dados de entrada'!$E$2,PV('Dados de entrada'!$B$6,'Dados de entrada'!$B$10-'Dados de entrada'!$E$2+1,+L120*(-'Dados de entrada'!$E$3),,1)+L120*(1-'Dados de entrada'!$E$3)-M120-N120-P120-Q120,L120-M120-N120-P120-Q120))</f>
        <v>2929.1340055462638</v>
      </c>
      <c r="S120" s="74">
        <f t="shared" ca="1" si="33"/>
        <v>3560</v>
      </c>
      <c r="T120" s="67">
        <f ca="1">IF(E120&lt;&gt;"",(-E120)/((1+'Dados de entrada'!$B$6)^(S120/30)),"")</f>
        <v>32.087580712506139</v>
      </c>
      <c r="U120" s="67">
        <f t="shared" ca="1" si="34"/>
        <v>114231.78733652185</v>
      </c>
      <c r="V120" s="71">
        <f ca="1">IF(F120="","",-'Dados de entrada'!$B$2)</f>
        <v>-3000</v>
      </c>
      <c r="X120" s="93">
        <f>+Resumo!$E$12-Resumo!$E$20</f>
        <v>0</v>
      </c>
      <c r="Y120" s="116">
        <f t="shared" si="31"/>
        <v>49772</v>
      </c>
      <c r="Z120" s="81">
        <v>30</v>
      </c>
      <c r="AA120" s="81">
        <f t="shared" ca="1" si="35"/>
        <v>3508</v>
      </c>
      <c r="AB120" s="93">
        <f>IF(A120&lt;='Dados de entrada'!$B$18,'Dados de entrada'!$B$20,0)</f>
        <v>0</v>
      </c>
      <c r="AC120" s="93">
        <f>IF(OR(Resumo!$E$23&gt;0,Resumo!$E$28&gt;0,Resumo!$E$33&gt;0),IF(AND(A120&gt;'Dados de entrada'!$B$18,A120&lt;='Dados de entrada'!$B$10),'Dados de entrada'!$B$21,0),IF(AND(A120&gt;'Dados de entrada'!$B$18,A120&lt;='Dados de entrada'!$B$10),'Dados de entrada'!$B$21,IF(A120&lt;='Dados de entrada'!$B$18,X120,0)))</f>
        <v>3000</v>
      </c>
      <c r="AD120" s="93">
        <f ca="1">AC120/((1+'Dados de entrada'!$D$22)^($AA120/360))</f>
        <v>118.77536687930848</v>
      </c>
      <c r="AE120" s="93">
        <f>IF(A120&lt;='Dados de entrada'!$B$27,'Dados de entrada'!$B$29,0)</f>
        <v>0</v>
      </c>
      <c r="AF120" s="93">
        <f>IF(AND(A120&gt;'Dados de entrada'!$B$27,A120&lt;='Dados de entrada'!$B$10),'Dados de entrada'!$B$30,0)</f>
        <v>0</v>
      </c>
      <c r="AG120" s="93">
        <f ca="1">AF120/((1+'Dados de entrada'!$D$31)^($AA120/360))</f>
        <v>0</v>
      </c>
      <c r="AH120" s="93">
        <f>IF(A120&lt;='Dados de entrada'!$B$36,'Dados de entrada'!$B$38,0)</f>
        <v>0</v>
      </c>
      <c r="AI120" s="93">
        <f>IF(AND(A120&gt;'Dados de entrada'!$B$36,A120&lt;='Dados de entrada'!$B$10),'Dados de entrada'!$B$39,0)</f>
        <v>0</v>
      </c>
      <c r="AJ120" s="93">
        <f ca="1">AI120/((1+'Dados de entrada'!$D$40)^($AA120/360))</f>
        <v>0</v>
      </c>
      <c r="AK120" s="93">
        <f>IF(A120&lt;='Dados de entrada'!$B$45,'Dados de entrada'!$B$47,0)</f>
        <v>0</v>
      </c>
      <c r="AL120" s="93">
        <f>IF(AND(A120&gt;'Dados de entrada'!$B$45,A120&lt;='Dados de entrada'!$B$10),'Dados de entrada'!$B$48,0)</f>
        <v>0</v>
      </c>
      <c r="AM120" s="93">
        <f ca="1">AL120/((1+'Dados de entrada'!$D$49)^($AA120/360))</f>
        <v>0</v>
      </c>
      <c r="AN120" s="85">
        <f t="shared" si="30"/>
        <v>3000</v>
      </c>
    </row>
    <row r="121" spans="1:40">
      <c r="A121" s="69">
        <f>IF(A120="","",IF(A120+1&lt;='Dados de entrada'!$B$10,A120+1,""))</f>
        <v>118</v>
      </c>
      <c r="B121" s="70">
        <f t="shared" si="36"/>
        <v>49802</v>
      </c>
      <c r="C121" s="69">
        <f t="shared" si="37"/>
        <v>30</v>
      </c>
      <c r="D121" s="71">
        <f ca="1">IF(A121="","",F120*(1+'Dados de entrada'!$B$6)^(C121/30))</f>
        <v>1800.7880237129261</v>
      </c>
      <c r="E121" s="71">
        <f ca="1">IF(A121="","",-'Dados de entrada'!$J$20)</f>
        <v>-615.26347669246445</v>
      </c>
      <c r="F121" s="71">
        <f t="shared" ca="1" si="38"/>
        <v>1185.5245470204618</v>
      </c>
      <c r="G121" s="71">
        <f t="shared" ca="1" si="39"/>
        <v>570.99553922938458</v>
      </c>
      <c r="H121" s="69">
        <f t="shared" ca="1" si="40"/>
        <v>3590</v>
      </c>
      <c r="I121" s="71">
        <f ca="1">IF(A121="","",MIN(H121,365)*G121*'Dados de entrada'!$B$11+G121*'Dados de entrada'!$B$12)</f>
        <v>19.259679538207141</v>
      </c>
      <c r="J121" s="71">
        <f t="shared" ca="1" si="41"/>
        <v>-3000</v>
      </c>
      <c r="K121" s="71">
        <f t="shared" ca="1" si="42"/>
        <v>-3000</v>
      </c>
      <c r="L121" s="72">
        <f ca="1">IF(A121="","",IF(A121&lt;='Dados de entrada'!$J$2,-V120,-V120*(1-'Dados de entrada'!$J$3)))</f>
        <v>3000</v>
      </c>
      <c r="M121" s="72">
        <f ca="1">IF(A121="","",L121*'Dados de entrada'!$E$4)</f>
        <v>60.599999999999994</v>
      </c>
      <c r="N121" s="72">
        <f ca="1">IF(A121="","",IF(A121&lt;='Dados de entrada'!$E$2,'Dados de entrada'!$E$13*'Dados de entrada'!$E$10/'Dados de entrada'!$B$10,'Dados de entrada'!$E$13*'Dados de entrada'!$E$10/'Dados de entrada'!$B$10*(1-'Dados de entrada'!$E$3)))</f>
        <v>0</v>
      </c>
      <c r="O121" s="71">
        <f ca="1">IF(A121="","",IF(AND(A121='Dados de entrada'!$E$2),(O120*(1+'Dados de entrada'!$B$6)-L121)*(1-'Dados de entrada'!$E$3),IF(AND(A121&lt;&gt;'Dados de entrada'!$A$2),O120*(1+'Dados de entrada'!$B$6)^(C121/30)-L121,"")))</f>
        <v>5780.5700741077817</v>
      </c>
      <c r="P121" s="71">
        <f ca="1">IF(A121="","",(O120*((1+'Dados de entrada'!$B$6)^(-DAYS360(B121,B120)/30)-1)-O120*((1+'Dados de entrada'!$H$10)^(-DAYS360(B121,B120)/360)-1))*4.65%)</f>
        <v>7.7945054315396538</v>
      </c>
      <c r="Q121" s="75">
        <f ca="1">IF(E121&lt;&gt;"",'Dados de entrada'!$H$5-E121*'Dados de entrada'!$H$6,"")</f>
        <v>0</v>
      </c>
      <c r="R121" s="71">
        <f ca="1">IF(A121="","",IF(A121='Dados de entrada'!$E$2,PV('Dados de entrada'!$B$6,'Dados de entrada'!$B$10-'Dados de entrada'!$E$2+1,+L121*(-'Dados de entrada'!$E$3),,1)+L121*(1-'Dados de entrada'!$E$3)-M121-N121-P121-Q121,L121-M121-N121-P121-Q121))</f>
        <v>2931.6054945684605</v>
      </c>
      <c r="S121" s="74">
        <f t="shared" ca="1" si="33"/>
        <v>3590</v>
      </c>
      <c r="T121" s="67">
        <f ca="1">IF(E121&lt;&gt;"",(-E121)/((1+'Dados de entrada'!$B$6)^(S121/30)),"")</f>
        <v>31.298786585924816</v>
      </c>
      <c r="U121" s="67">
        <f t="shared" ca="1" si="34"/>
        <v>112362.64384347008</v>
      </c>
      <c r="V121" s="71">
        <f ca="1">IF(F121="","",-'Dados de entrada'!$B$2)</f>
        <v>-3000</v>
      </c>
      <c r="X121" s="93">
        <f>+Resumo!$E$12-Resumo!$E$20</f>
        <v>0</v>
      </c>
      <c r="Y121" s="116">
        <f t="shared" si="31"/>
        <v>49802</v>
      </c>
      <c r="Z121" s="81">
        <v>30</v>
      </c>
      <c r="AA121" s="81">
        <f t="shared" ca="1" si="35"/>
        <v>3538</v>
      </c>
      <c r="AB121" s="93">
        <f>IF(A121&lt;='Dados de entrada'!$B$18,'Dados de entrada'!$B$20,0)</f>
        <v>0</v>
      </c>
      <c r="AC121" s="93">
        <f>IF(OR(Resumo!$E$23&gt;0,Resumo!$E$28&gt;0,Resumo!$E$33&gt;0),IF(AND(A121&gt;'Dados de entrada'!$B$18,A121&lt;='Dados de entrada'!$B$10),'Dados de entrada'!$B$21,0),IF(AND(A121&gt;'Dados de entrada'!$B$18,A121&lt;='Dados de entrada'!$B$10),'Dados de entrada'!$B$21,IF(A121&lt;='Dados de entrada'!$B$18,X121,0)))</f>
        <v>3000</v>
      </c>
      <c r="AD121" s="93">
        <f ca="1">AC121/((1+'Dados de entrada'!$D$22)^($AA121/360))</f>
        <v>115.54024015496931</v>
      </c>
      <c r="AE121" s="93">
        <f>IF(A121&lt;='Dados de entrada'!$B$27,'Dados de entrada'!$B$29,0)</f>
        <v>0</v>
      </c>
      <c r="AF121" s="93">
        <f>IF(AND(A121&gt;'Dados de entrada'!$B$27,A121&lt;='Dados de entrada'!$B$10),'Dados de entrada'!$B$30,0)</f>
        <v>0</v>
      </c>
      <c r="AG121" s="93">
        <f ca="1">AF121/((1+'Dados de entrada'!$D$31)^($AA121/360))</f>
        <v>0</v>
      </c>
      <c r="AH121" s="93">
        <f>IF(A121&lt;='Dados de entrada'!$B$36,'Dados de entrada'!$B$38,0)</f>
        <v>0</v>
      </c>
      <c r="AI121" s="93">
        <f>IF(AND(A121&gt;'Dados de entrada'!$B$36,A121&lt;='Dados de entrada'!$B$10),'Dados de entrada'!$B$39,0)</f>
        <v>0</v>
      </c>
      <c r="AJ121" s="93">
        <f ca="1">AI121/((1+'Dados de entrada'!$D$40)^($AA121/360))</f>
        <v>0</v>
      </c>
      <c r="AK121" s="93">
        <f>IF(A121&lt;='Dados de entrada'!$B$45,'Dados de entrada'!$B$47,0)</f>
        <v>0</v>
      </c>
      <c r="AL121" s="93">
        <f>IF(AND(A121&gt;'Dados de entrada'!$B$45,A121&lt;='Dados de entrada'!$B$10),'Dados de entrada'!$B$48,0)</f>
        <v>0</v>
      </c>
      <c r="AM121" s="93">
        <f ca="1">AL121/((1+'Dados de entrada'!$D$49)^($AA121/360))</f>
        <v>0</v>
      </c>
      <c r="AN121" s="85">
        <f t="shared" si="30"/>
        <v>3000</v>
      </c>
    </row>
    <row r="122" spans="1:40">
      <c r="A122" s="69">
        <f>IF(A121="","",IF(A121+1&lt;='Dados de entrada'!$B$10,A121+1,""))</f>
        <v>119</v>
      </c>
      <c r="B122" s="70">
        <f t="shared" si="36"/>
        <v>49833</v>
      </c>
      <c r="C122" s="69">
        <f t="shared" si="37"/>
        <v>30</v>
      </c>
      <c r="D122" s="71">
        <f ca="1">IF(A122="","",F121*(1+'Dados de entrada'!$B$6)^(C122/30))</f>
        <v>1215.4022164643072</v>
      </c>
      <c r="E122" s="71">
        <f ca="1">IF(A122="","",-'Dados de entrada'!$J$20)</f>
        <v>-615.26347669246445</v>
      </c>
      <c r="F122" s="71">
        <f t="shared" ca="1" si="38"/>
        <v>600.13873977184278</v>
      </c>
      <c r="G122" s="71">
        <f t="shared" ca="1" si="39"/>
        <v>585.38580724861902</v>
      </c>
      <c r="H122" s="69">
        <f t="shared" ca="1" si="40"/>
        <v>3621</v>
      </c>
      <c r="I122" s="71">
        <f ca="1">IF(A122="","",MIN(H122,365)*G122*'Dados de entrada'!$B$11+G122*'Dados de entrada'!$B$12)</f>
        <v>19.74506327849592</v>
      </c>
      <c r="J122" s="71">
        <f t="shared" ca="1" si="41"/>
        <v>-3000</v>
      </c>
      <c r="K122" s="71">
        <f t="shared" ca="1" si="42"/>
        <v>-3000</v>
      </c>
      <c r="L122" s="72">
        <f ca="1">IF(A122="","",IF(A122&lt;='Dados de entrada'!$J$2,-V121,-V121*(1-'Dados de entrada'!$J$3)))</f>
        <v>3000</v>
      </c>
      <c r="M122" s="72">
        <f ca="1">IF(A122="","",L122*'Dados de entrada'!$E$4)</f>
        <v>60.599999999999994</v>
      </c>
      <c r="N122" s="72">
        <f ca="1">IF(A122="","",IF(A122&lt;='Dados de entrada'!$E$2,'Dados de entrada'!$E$13*'Dados de entrada'!$E$10/'Dados de entrada'!$B$10,'Dados de entrada'!$E$13*'Dados de entrada'!$E$10/'Dados de entrada'!$B$10*(1-'Dados de entrada'!$E$3)))</f>
        <v>0</v>
      </c>
      <c r="O122" s="71">
        <f ca="1">IF(A122="","",IF(AND(A122='Dados de entrada'!$E$2),(O121*(1+'Dados de entrada'!$B$6)-L122)*(1-'Dados de entrada'!$E$3),IF(AND(A122&lt;&gt;'Dados de entrada'!$A$2),O121*(1+'Dados de entrada'!$B$6)^(C122/30)-L122,"")))</f>
        <v>2926.2523902649991</v>
      </c>
      <c r="P122" s="71">
        <f ca="1">IF(A122="","",(O121*((1+'Dados de entrada'!$B$6)^(-DAYS360(B122,B121)/30)-1)-O121*((1+'Dados de entrada'!$H$10)^(-DAYS360(B122,B121)/360)-1))*4.65%)</f>
        <v>5.2607297766243404</v>
      </c>
      <c r="Q122" s="75">
        <f ca="1">IF(E122&lt;&gt;"",'Dados de entrada'!$H$5-E122*'Dados de entrada'!$H$6,"")</f>
        <v>0</v>
      </c>
      <c r="R122" s="71">
        <f ca="1">IF(A122="","",IF(A122='Dados de entrada'!$E$2,PV('Dados de entrada'!$B$6,'Dados de entrada'!$B$10-'Dados de entrada'!$E$2+1,+L122*(-'Dados de entrada'!$E$3),,1)+L122*(1-'Dados de entrada'!$E$3)-M122-N122-P122-Q122,L122-M122-N122-P122-Q122))</f>
        <v>2934.1392702233757</v>
      </c>
      <c r="S122" s="74">
        <f t="shared" ca="1" si="33"/>
        <v>3621</v>
      </c>
      <c r="T122" s="67">
        <f ca="1">IF(E122&lt;&gt;"",(-E122)/((1+'Dados de entrada'!$B$6)^(S122/30)),"")</f>
        <v>30.504064585356303</v>
      </c>
      <c r="U122" s="67">
        <f t="shared" ca="1" si="34"/>
        <v>110455.21786357518</v>
      </c>
      <c r="V122" s="71">
        <f ca="1">IF(F122="","",-'Dados de entrada'!$B$2)</f>
        <v>-3000</v>
      </c>
      <c r="X122" s="93">
        <f>+Resumo!$E$12-Resumo!$E$20</f>
        <v>0</v>
      </c>
      <c r="Y122" s="116">
        <f t="shared" si="31"/>
        <v>49833</v>
      </c>
      <c r="Z122" s="81">
        <v>30</v>
      </c>
      <c r="AA122" s="81">
        <f t="shared" ca="1" si="35"/>
        <v>3568</v>
      </c>
      <c r="AB122" s="93">
        <f>IF(A122&lt;='Dados de entrada'!$B$18,'Dados de entrada'!$B$20,0)</f>
        <v>0</v>
      </c>
      <c r="AC122" s="93">
        <f>IF(OR(Resumo!$E$23&gt;0,Resumo!$E$28&gt;0,Resumo!$E$33&gt;0),IF(AND(A122&gt;'Dados de entrada'!$B$18,A122&lt;='Dados de entrada'!$B$10),'Dados de entrada'!$B$21,0),IF(AND(A122&gt;'Dados de entrada'!$B$18,A122&lt;='Dados de entrada'!$B$10),'Dados de entrada'!$B$21,IF(A122&lt;='Dados de entrada'!$B$18,X122,0)))</f>
        <v>3000</v>
      </c>
      <c r="AD122" s="93">
        <f ca="1">AC122/((1+'Dados de entrada'!$D$22)^($AA122/360))</f>
        <v>112.39322972273276</v>
      </c>
      <c r="AE122" s="93">
        <f>IF(A122&lt;='Dados de entrada'!$B$27,'Dados de entrada'!$B$29,0)</f>
        <v>0</v>
      </c>
      <c r="AF122" s="93">
        <f>IF(AND(A122&gt;'Dados de entrada'!$B$27,A122&lt;='Dados de entrada'!$B$10),'Dados de entrada'!$B$30,0)</f>
        <v>0</v>
      </c>
      <c r="AG122" s="93">
        <f ca="1">AF122/((1+'Dados de entrada'!$D$31)^($AA122/360))</f>
        <v>0</v>
      </c>
      <c r="AH122" s="93">
        <f>IF(A122&lt;='Dados de entrada'!$B$36,'Dados de entrada'!$B$38,0)</f>
        <v>0</v>
      </c>
      <c r="AI122" s="93">
        <f>IF(AND(A122&gt;'Dados de entrada'!$B$36,A122&lt;='Dados de entrada'!$B$10),'Dados de entrada'!$B$39,0)</f>
        <v>0</v>
      </c>
      <c r="AJ122" s="93">
        <f ca="1">AI122/((1+'Dados de entrada'!$D$40)^($AA122/360))</f>
        <v>0</v>
      </c>
      <c r="AK122" s="93">
        <f>IF(A122&lt;='Dados de entrada'!$B$45,'Dados de entrada'!$B$47,0)</f>
        <v>0</v>
      </c>
      <c r="AL122" s="93">
        <f>IF(AND(A122&gt;'Dados de entrada'!$B$45,A122&lt;='Dados de entrada'!$B$10),'Dados de entrada'!$B$48,0)</f>
        <v>0</v>
      </c>
      <c r="AM122" s="93">
        <f ca="1">AL122/((1+'Dados de entrada'!$D$49)^($AA122/360))</f>
        <v>0</v>
      </c>
      <c r="AN122" s="85">
        <f t="shared" si="30"/>
        <v>3000</v>
      </c>
    </row>
    <row r="123" spans="1:40">
      <c r="A123" s="69">
        <f>IF(A122="","",IF(A122+1&lt;='Dados de entrada'!$B$10,A122+1,""))</f>
        <v>120</v>
      </c>
      <c r="B123" s="70">
        <f t="shared" si="36"/>
        <v>49863</v>
      </c>
      <c r="C123" s="69">
        <f t="shared" si="37"/>
        <v>30</v>
      </c>
      <c r="D123" s="71">
        <f ca="1">IF(A123="","",F122*(1+'Dados de entrada'!$B$6)^(C123/30))</f>
        <v>615.26347669307631</v>
      </c>
      <c r="E123" s="71">
        <f ca="1">IF(A123="","",-'Dados de entrada'!$J$20)</f>
        <v>-615.26347669246445</v>
      </c>
      <c r="F123" s="71">
        <f t="shared" ca="1" si="38"/>
        <v>6.1186256061773747E-10</v>
      </c>
      <c r="G123" s="71">
        <f t="shared" ca="1" si="39"/>
        <v>600.13873977123092</v>
      </c>
      <c r="H123" s="69">
        <f t="shared" ca="1" si="40"/>
        <v>3651</v>
      </c>
      <c r="I123" s="71">
        <f ca="1">IF(A123="","",MIN(H123,365)*G123*'Dados de entrada'!$B$11+G123*'Dados de entrada'!$B$12)</f>
        <v>20.24267969248362</v>
      </c>
      <c r="J123" s="71">
        <f t="shared" ca="1" si="41"/>
        <v>-3000</v>
      </c>
      <c r="K123" s="71">
        <f t="shared" ca="1" si="42"/>
        <v>-3000</v>
      </c>
      <c r="L123" s="72">
        <f ca="1">IF(A123="","",IF(A123&lt;='Dados de entrada'!$J$2,-V122,-V122*(1-'Dados de entrada'!$J$3)))</f>
        <v>3000</v>
      </c>
      <c r="M123" s="72">
        <f ca="1">IF(A123="","",L123*'Dados de entrada'!$E$4)</f>
        <v>60.599999999999994</v>
      </c>
      <c r="N123" s="72">
        <f ca="1">IF(A123="","",IF(A123&lt;='Dados de entrada'!$E$2,'Dados de entrada'!$E$13*'Dados de entrada'!$E$10/'Dados de entrada'!$B$10,'Dados de entrada'!$E$13*'Dados de entrada'!$E$10/'Dados de entrada'!$B$10*(1-'Dados de entrada'!$E$3)))</f>
        <v>0</v>
      </c>
      <c r="O123" s="71">
        <f ca="1">IF(A123="","",IF(AND(A123='Dados de entrada'!$E$2),(O122*(1+'Dados de entrada'!$B$6)-L123)*(1-'Dados de entrada'!$E$3),IF(AND(A123&lt;&gt;'Dados de entrada'!$A$2),O122*(1+'Dados de entrada'!$B$6)^(C123/30)-L123,"")))</f>
        <v>5.6616045185364783E-10</v>
      </c>
      <c r="P123" s="71">
        <f ca="1">IF(A123="","",(O122*((1+'Dados de entrada'!$B$6)^(-DAYS360(B123,B122)/30)-1)-O122*((1+'Dados de entrada'!$H$10)^(-DAYS360(B123,B122)/360)-1))*4.65%)</f>
        <v>2.6630977370793825</v>
      </c>
      <c r="Q123" s="75">
        <f ca="1">IF(E123&lt;&gt;"",'Dados de entrada'!$H$5-E123*'Dados de entrada'!$H$6,"")</f>
        <v>0</v>
      </c>
      <c r="R123" s="71">
        <f ca="1">IF(A123="","",IF(A123='Dados de entrada'!$E$2,PV('Dados de entrada'!$B$6,'Dados de entrada'!$B$10-'Dados de entrada'!$E$2+1,+L123*(-'Dados de entrada'!$E$3),,1)+L123*(1-'Dados de entrada'!$E$3)-M123-N123-P123-Q123,L123-M123-N123-P123-Q123))</f>
        <v>2936.7369022629209</v>
      </c>
      <c r="S123" s="74">
        <f t="shared" ref="S123:S147" ca="1" si="43">IF(H123&lt;&gt;"",H123,"")</f>
        <v>3651</v>
      </c>
      <c r="T123" s="67">
        <f ca="1">IF(E123&lt;&gt;"",(-E123)/((1+'Dados de entrada'!$B$6)^(S123/30)),"")</f>
        <v>29.754197301893303</v>
      </c>
      <c r="U123" s="67">
        <f t="shared" ref="U123:U147" ca="1" si="44">IF(T123&lt;&gt;"",T123*S123,"")</f>
        <v>108632.57434921245</v>
      </c>
      <c r="V123" s="71">
        <f ca="1">IF(F123="","",-'Dados de entrada'!$B$2)</f>
        <v>-3000</v>
      </c>
      <c r="X123" s="93">
        <f>+Resumo!$E$12-Resumo!$E$20</f>
        <v>0</v>
      </c>
      <c r="Y123" s="116">
        <f t="shared" si="31"/>
        <v>49863</v>
      </c>
      <c r="Z123" s="81">
        <v>30</v>
      </c>
      <c r="AA123" s="81">
        <f t="shared" ca="1" si="35"/>
        <v>3598</v>
      </c>
      <c r="AB123" s="93">
        <f>IF(A123&lt;='Dados de entrada'!$B$18,'Dados de entrada'!$B$20,0)</f>
        <v>0</v>
      </c>
      <c r="AC123" s="93">
        <f>IF(OR(Resumo!$E$23&gt;0,Resumo!$E$28&gt;0,Resumo!$E$33&gt;0),IF(AND(A123&gt;'Dados de entrada'!$B$18,A123&lt;='Dados de entrada'!$B$10),'Dados de entrada'!$B$21,0),IF(AND(A123&gt;'Dados de entrada'!$B$18,A123&lt;='Dados de entrada'!$B$10),'Dados de entrada'!$B$21,IF(A123&lt;='Dados de entrada'!$B$18,X123,0)))</f>
        <v>3000</v>
      </c>
      <c r="AD123" s="93">
        <f ca="1">AC123/((1+'Dados de entrada'!$D$22)^($AA123/360))</f>
        <v>109.33193552795022</v>
      </c>
      <c r="AE123" s="93">
        <f>IF(A123&lt;='Dados de entrada'!$B$27,'Dados de entrada'!$B$29,0)</f>
        <v>0</v>
      </c>
      <c r="AF123" s="93">
        <f>IF(AND(A123&gt;'Dados de entrada'!$B$27,A123&lt;='Dados de entrada'!$B$10),'Dados de entrada'!$B$30,0)</f>
        <v>0</v>
      </c>
      <c r="AG123" s="93">
        <f ca="1">AF123/((1+'Dados de entrada'!$D$31)^($AA123/360))</f>
        <v>0</v>
      </c>
      <c r="AH123" s="93">
        <f>IF(A123&lt;='Dados de entrada'!$B$36,'Dados de entrada'!$B$38,0)</f>
        <v>0</v>
      </c>
      <c r="AI123" s="93">
        <f>IF(AND(A123&gt;'Dados de entrada'!$B$36,A123&lt;='Dados de entrada'!$B$10),'Dados de entrada'!$B$39,0)</f>
        <v>0</v>
      </c>
      <c r="AJ123" s="93">
        <f ca="1">AI123/((1+'Dados de entrada'!$D$40)^($AA123/360))</f>
        <v>0</v>
      </c>
      <c r="AK123" s="93">
        <f>IF(A123&lt;='Dados de entrada'!$B$45,'Dados de entrada'!$B$47,0)</f>
        <v>0</v>
      </c>
      <c r="AL123" s="93">
        <f>IF(AND(A123&gt;'Dados de entrada'!$B$45,A123&lt;='Dados de entrada'!$B$10),'Dados de entrada'!$B$48,0)</f>
        <v>0</v>
      </c>
      <c r="AM123" s="93">
        <f ca="1">AL123/((1+'Dados de entrada'!$D$49)^($AA123/360))</f>
        <v>0</v>
      </c>
      <c r="AN123" s="85">
        <f t="shared" si="30"/>
        <v>3000</v>
      </c>
    </row>
    <row r="124" spans="1:40">
      <c r="A124" s="69" t="str">
        <f>IF(A123="","",IF(A123+1&lt;='Dados de entrada'!$B$10,A123+1,""))</f>
        <v/>
      </c>
      <c r="B124" s="70" t="str">
        <f t="shared" ref="B124:B147" si="45">IF(A124="","",DATE(YEAR(B123),MONTH(B123)+1,DAY(B123)))</f>
        <v/>
      </c>
      <c r="C124" s="69" t="str">
        <f t="shared" ref="C124:C147" si="46">IF(A124="","",30)</f>
        <v/>
      </c>
      <c r="D124" s="71" t="str">
        <f>IF(A124="","",F123*(1+'Dados de entrada'!$B$6)^(C124/30))</f>
        <v/>
      </c>
      <c r="E124" s="71" t="str">
        <f>IF(A124="","",-'Dados de entrada'!$J$20)</f>
        <v/>
      </c>
      <c r="F124" s="71" t="str">
        <f t="shared" ref="F124:F147" si="47">IF(A124="","",D124+E124)</f>
        <v/>
      </c>
      <c r="G124" s="71" t="str">
        <f t="shared" ref="G124:G147" si="48">IF(A124="","",F123-F124)</f>
        <v/>
      </c>
      <c r="H124" s="69" t="str">
        <f t="shared" ref="H124:H147" si="49">IF(A124="","",B124-$B$3)</f>
        <v/>
      </c>
      <c r="I124" s="71" t="str">
        <f>IF(A124="","",MIN(H124,365)*G124*'Dados de entrada'!$B$11+G124*'Dados de entrada'!$B$12)</f>
        <v/>
      </c>
      <c r="J124" s="71" t="str">
        <f t="shared" ref="J124:J147" si="50">IF(A124="","",V124)</f>
        <v/>
      </c>
      <c r="K124" s="71" t="str">
        <f t="shared" ref="K124:K147" si="51">IF(A124="","",V124)</f>
        <v/>
      </c>
      <c r="L124" s="72" t="str">
        <f>IF(A124="","",IF(A124&lt;='Dados de entrada'!$J$2,-V123,-V123*(1-'Dados de entrada'!$J$3)))</f>
        <v/>
      </c>
      <c r="M124" s="72" t="str">
        <f>IF(A124="","",L124*'Dados de entrada'!$E$4)</f>
        <v/>
      </c>
      <c r="N124" s="72" t="str">
        <f>IF(A124="","",IF(A124&lt;='Dados de entrada'!$E$2,'Dados de entrada'!$E$13*'Dados de entrada'!$E$10/'Dados de entrada'!$B$10,'Dados de entrada'!$E$13*'Dados de entrada'!$E$10/'Dados de entrada'!$B$10*(1-'Dados de entrada'!$E$3)))</f>
        <v/>
      </c>
      <c r="O124" s="71" t="str">
        <f>IF(A124="","",IF(AND(A124='Dados de entrada'!$E$2),(O123*(1+'Dados de entrada'!$B$6)-L124)*(1-'Dados de entrada'!$E$3),IF(AND(A124&lt;&gt;'Dados de entrada'!$A$2),O123*(1+'Dados de entrada'!$B$6)^(C124/30)-L124,"")))</f>
        <v/>
      </c>
      <c r="P124" s="71" t="str">
        <f>IF(A124="","",(O123*((1+'Dados de entrada'!$B$6)^(-DAYS360(B124,B123)/30)-1)-O123*((1+'Dados de entrada'!$H$10)^(-DAYS360(B124,B123)/360)-1))*4.65%)</f>
        <v/>
      </c>
      <c r="Q124" s="75" t="str">
        <f>IF(E124&lt;&gt;"",'Dados de entrada'!$H$5-E124*'Dados de entrada'!$H$6,"")</f>
        <v/>
      </c>
      <c r="R124" s="71" t="str">
        <f>IF(A124="","",IF(A124='Dados de entrada'!$E$2,PV('Dados de entrada'!$B$6,'Dados de entrada'!$B$10-'Dados de entrada'!$E$2+1,+L124*(-'Dados de entrada'!$E$3),,1)+L124*(1-'Dados de entrada'!$E$3)-M124-N124-P124-Q124,L124-M124-N124-P124-Q124))</f>
        <v/>
      </c>
      <c r="S124" s="74" t="str">
        <f t="shared" si="43"/>
        <v/>
      </c>
      <c r="T124" s="67" t="str">
        <f>IF(E124&lt;&gt;"",(-E124)/((1+'Dados de entrada'!$B$6)^(S124/30)),"")</f>
        <v/>
      </c>
      <c r="U124" s="67" t="str">
        <f t="shared" si="44"/>
        <v/>
      </c>
      <c r="V124" s="71" t="str">
        <f>IF(F124="","",-'Dados de entrada'!$B$2)</f>
        <v/>
      </c>
      <c r="X124" s="93">
        <f>+Resumo!$E$12-Resumo!$E$20</f>
        <v>0</v>
      </c>
      <c r="Y124" s="116">
        <f t="shared" si="31"/>
        <v>49894</v>
      </c>
      <c r="Z124" s="81">
        <v>30</v>
      </c>
      <c r="AA124" s="81">
        <f t="shared" ref="AA124:AA131" ca="1" si="52">AA123+Z124</f>
        <v>3628</v>
      </c>
      <c r="AB124" s="93">
        <f>IF(A124&lt;='Dados de entrada'!$B$18,'Dados de entrada'!$B$20,0)</f>
        <v>0</v>
      </c>
      <c r="AC124" s="93">
        <f>IF(OR(Resumo!$E$23&gt;0,Resumo!$E$28&gt;0,Resumo!$E$33&gt;0),IF(AND(A124&gt;'Dados de entrada'!$B$18,A124&lt;='Dados de entrada'!$B$10),'Dados de entrada'!$B$21,0),IF(AND(A124&gt;'Dados de entrada'!$B$18,A124&lt;='Dados de entrada'!$B$10),'Dados de entrada'!$B$21,IF(A124&lt;='Dados de entrada'!$B$18,X124,0)))</f>
        <v>0</v>
      </c>
      <c r="AD124" s="93">
        <f ca="1">AC124/((1+'Dados de entrada'!$D$22)^($AA124/360))</f>
        <v>0</v>
      </c>
      <c r="AE124" s="93">
        <f>IF(A124&lt;='Dados de entrada'!$B$27,'Dados de entrada'!$B$29,0)</f>
        <v>0</v>
      </c>
      <c r="AF124" s="93">
        <f>IF(AND(A124&gt;'Dados de entrada'!$B$27,A124&lt;='Dados de entrada'!$B$10),'Dados de entrada'!$B$30,0)</f>
        <v>0</v>
      </c>
      <c r="AG124" s="93">
        <f ca="1">AF124/((1+'Dados de entrada'!$D$31)^($AA124/360))</f>
        <v>0</v>
      </c>
      <c r="AH124" s="93">
        <f>IF(A124&lt;='Dados de entrada'!$B$36,'Dados de entrada'!$B$38,0)</f>
        <v>0</v>
      </c>
      <c r="AI124" s="93">
        <f>IF(AND(A124&gt;'Dados de entrada'!$B$36,A124&lt;='Dados de entrada'!$B$10),'Dados de entrada'!$B$39,0)</f>
        <v>0</v>
      </c>
      <c r="AJ124" s="93">
        <f ca="1">AI124/((1+'Dados de entrada'!$D$40)^($AA124/360))</f>
        <v>0</v>
      </c>
      <c r="AK124" s="93">
        <f>IF(A124&lt;='Dados de entrada'!$B$45,'Dados de entrada'!$B$47,0)</f>
        <v>0</v>
      </c>
      <c r="AL124" s="93">
        <f>IF(AND(A124&gt;'Dados de entrada'!$B$45,A124&lt;='Dados de entrada'!$B$10),'Dados de entrada'!$B$48,0)</f>
        <v>0</v>
      </c>
      <c r="AM124" s="93">
        <f ca="1">AL124/((1+'Dados de entrada'!$D$49)^($AA124/360))</f>
        <v>0</v>
      </c>
      <c r="AN124" s="85">
        <f t="shared" si="30"/>
        <v>0</v>
      </c>
    </row>
    <row r="125" spans="1:40">
      <c r="A125" s="69" t="str">
        <f>IF(A124="","",IF(A124+1&lt;='Dados de entrada'!$B$10,A124+1,""))</f>
        <v/>
      </c>
      <c r="B125" s="70" t="str">
        <f t="shared" si="45"/>
        <v/>
      </c>
      <c r="C125" s="69" t="str">
        <f t="shared" si="46"/>
        <v/>
      </c>
      <c r="D125" s="71" t="str">
        <f>IF(A125="","",F124*(1+'Dados de entrada'!$B$6)^(C125/30))</f>
        <v/>
      </c>
      <c r="E125" s="71" t="str">
        <f>IF(A125="","",-'Dados de entrada'!$J$20)</f>
        <v/>
      </c>
      <c r="F125" s="71" t="str">
        <f t="shared" si="47"/>
        <v/>
      </c>
      <c r="G125" s="71" t="str">
        <f t="shared" si="48"/>
        <v/>
      </c>
      <c r="H125" s="69" t="str">
        <f t="shared" si="49"/>
        <v/>
      </c>
      <c r="I125" s="71" t="str">
        <f>IF(A125="","",MIN(H125,365)*G125*'Dados de entrada'!$B$11+G125*'Dados de entrada'!$B$12)</f>
        <v/>
      </c>
      <c r="J125" s="71" t="str">
        <f t="shared" si="50"/>
        <v/>
      </c>
      <c r="K125" s="71" t="str">
        <f t="shared" si="51"/>
        <v/>
      </c>
      <c r="L125" s="72" t="str">
        <f>IF(A125="","",IF(A125&lt;='Dados de entrada'!$J$2,-V124,-V124*(1-'Dados de entrada'!$J$3)))</f>
        <v/>
      </c>
      <c r="M125" s="72" t="str">
        <f>IF(A125="","",L125*'Dados de entrada'!$E$4)</f>
        <v/>
      </c>
      <c r="N125" s="72" t="str">
        <f>IF(A125="","",IF(A125&lt;='Dados de entrada'!$E$2,'Dados de entrada'!$E$13*'Dados de entrada'!$E$10/'Dados de entrada'!$B$10,'Dados de entrada'!$E$13*'Dados de entrada'!$E$10/'Dados de entrada'!$B$10*(1-'Dados de entrada'!$E$3)))</f>
        <v/>
      </c>
      <c r="O125" s="71" t="str">
        <f>IF(A125="","",IF(AND(A125='Dados de entrada'!$E$2),(O124*(1+'Dados de entrada'!$B$6)-L125)*(1-'Dados de entrada'!$E$3),IF(AND(A125&lt;&gt;'Dados de entrada'!$A$2),O124*(1+'Dados de entrada'!$B$6)^(C125/30)-L125,"")))</f>
        <v/>
      </c>
      <c r="P125" s="71" t="str">
        <f>IF(A125="","",(O124*((1+'Dados de entrada'!$B$6)^(-DAYS360(B125,B124)/30)-1)-O124*((1+'Dados de entrada'!$H$10)^(-DAYS360(B125,B124)/360)-1))*4.65%)</f>
        <v/>
      </c>
      <c r="Q125" s="75" t="str">
        <f>IF(E125&lt;&gt;"",'Dados de entrada'!$H$5-E125*'Dados de entrada'!$H$6,"")</f>
        <v/>
      </c>
      <c r="R125" s="71" t="str">
        <f>IF(A125="","",IF(A125='Dados de entrada'!$E$2,PV('Dados de entrada'!$B$6,'Dados de entrada'!$B$10-'Dados de entrada'!$E$2+1,+L125*(-'Dados de entrada'!$E$3),,1)+L125*(1-'Dados de entrada'!$E$3)-M125-N125-P125-Q125,L125-M125-N125-P125-Q125))</f>
        <v/>
      </c>
      <c r="S125" s="74" t="str">
        <f t="shared" si="43"/>
        <v/>
      </c>
      <c r="T125" s="67" t="str">
        <f>IF(E125&lt;&gt;"",(-E125)/((1+'Dados de entrada'!$B$6)^(S125/30)),"")</f>
        <v/>
      </c>
      <c r="U125" s="67" t="str">
        <f t="shared" si="44"/>
        <v/>
      </c>
      <c r="V125" s="71" t="str">
        <f>IF(F125="","",-'Dados de entrada'!$B$2)</f>
        <v/>
      </c>
      <c r="X125" s="93">
        <f>+Resumo!$E$12-Resumo!$E$20</f>
        <v>0</v>
      </c>
      <c r="Y125" s="116">
        <f t="shared" si="31"/>
        <v>49925</v>
      </c>
      <c r="Z125" s="81">
        <v>30</v>
      </c>
      <c r="AA125" s="81">
        <f t="shared" ca="1" si="52"/>
        <v>3658</v>
      </c>
      <c r="AB125" s="93">
        <f>IF(A125&lt;='Dados de entrada'!$B$18,'Dados de entrada'!$B$20,0)</f>
        <v>0</v>
      </c>
      <c r="AC125" s="93">
        <f>IF(OR(Resumo!$E$23&gt;0,Resumo!$E$28&gt;0,Resumo!$E$33&gt;0),IF(AND(A125&gt;'Dados de entrada'!$B$18,A125&lt;='Dados de entrada'!$B$10),'Dados de entrada'!$B$21,0),IF(AND(A125&gt;'Dados de entrada'!$B$18,A125&lt;='Dados de entrada'!$B$10),'Dados de entrada'!$B$21,IF(A125&lt;='Dados de entrada'!$B$18,X125,0)))</f>
        <v>0</v>
      </c>
      <c r="AD125" s="93">
        <f ca="1">AC125/((1+'Dados de entrada'!$D$22)^($AA125/360))</f>
        <v>0</v>
      </c>
      <c r="AE125" s="93">
        <f>IF(A125&lt;='Dados de entrada'!$B$27,'Dados de entrada'!$B$29,0)</f>
        <v>0</v>
      </c>
      <c r="AF125" s="93">
        <f>IF(AND(A125&gt;'Dados de entrada'!$B$27,A125&lt;='Dados de entrada'!$B$10),'Dados de entrada'!$B$30,0)</f>
        <v>0</v>
      </c>
      <c r="AG125" s="93">
        <f ca="1">AF125/((1+'Dados de entrada'!$D$31)^($AA125/360))</f>
        <v>0</v>
      </c>
      <c r="AH125" s="93">
        <f>IF(A125&lt;='Dados de entrada'!$B$36,'Dados de entrada'!$B$38,0)</f>
        <v>0</v>
      </c>
      <c r="AI125" s="93">
        <f>IF(AND(A125&gt;'Dados de entrada'!$B$36,A125&lt;='Dados de entrada'!$B$10),'Dados de entrada'!$B$39,0)</f>
        <v>0</v>
      </c>
      <c r="AJ125" s="93">
        <f ca="1">AI125/((1+'Dados de entrada'!$D$40)^($AA125/360))</f>
        <v>0</v>
      </c>
      <c r="AK125" s="93">
        <f>IF(A125&lt;='Dados de entrada'!$B$45,'Dados de entrada'!$B$47,0)</f>
        <v>0</v>
      </c>
      <c r="AL125" s="93">
        <f>IF(AND(A125&gt;'Dados de entrada'!$B$45,A125&lt;='Dados de entrada'!$B$10),'Dados de entrada'!$B$48,0)</f>
        <v>0</v>
      </c>
      <c r="AM125" s="93">
        <f ca="1">AL125/((1+'Dados de entrada'!$D$49)^($AA125/360))</f>
        <v>0</v>
      </c>
      <c r="AN125" s="85">
        <f t="shared" si="30"/>
        <v>0</v>
      </c>
    </row>
    <row r="126" spans="1:40">
      <c r="A126" s="69" t="str">
        <f>IF(A125="","",IF(A125+1&lt;='Dados de entrada'!$B$10,A125+1,""))</f>
        <v/>
      </c>
      <c r="B126" s="70" t="str">
        <f t="shared" si="45"/>
        <v/>
      </c>
      <c r="C126" s="69" t="str">
        <f t="shared" si="46"/>
        <v/>
      </c>
      <c r="D126" s="71" t="str">
        <f>IF(A126="","",F125*(1+'Dados de entrada'!$B$6)^(C126/30))</f>
        <v/>
      </c>
      <c r="E126" s="71" t="str">
        <f>IF(A126="","",-'Dados de entrada'!$J$20)</f>
        <v/>
      </c>
      <c r="F126" s="71" t="str">
        <f t="shared" si="47"/>
        <v/>
      </c>
      <c r="G126" s="71" t="str">
        <f t="shared" si="48"/>
        <v/>
      </c>
      <c r="H126" s="69" t="str">
        <f t="shared" si="49"/>
        <v/>
      </c>
      <c r="I126" s="71" t="str">
        <f>IF(A126="","",MIN(H126,365)*G126*'Dados de entrada'!$B$11+G126*'Dados de entrada'!$B$12)</f>
        <v/>
      </c>
      <c r="J126" s="71" t="str">
        <f t="shared" si="50"/>
        <v/>
      </c>
      <c r="K126" s="71" t="str">
        <f t="shared" si="51"/>
        <v/>
      </c>
      <c r="L126" s="72" t="str">
        <f>IF(A126="","",IF(A126&lt;='Dados de entrada'!$J$2,-V125,-V125*(1-'Dados de entrada'!$J$3)))</f>
        <v/>
      </c>
      <c r="M126" s="72" t="str">
        <f>IF(A126="","",L126*'Dados de entrada'!$E$4)</f>
        <v/>
      </c>
      <c r="N126" s="72" t="str">
        <f>IF(A126="","",IF(A126&lt;='Dados de entrada'!$E$2,'Dados de entrada'!$E$13*'Dados de entrada'!$E$10/'Dados de entrada'!$B$10,'Dados de entrada'!$E$13*'Dados de entrada'!$E$10/'Dados de entrada'!$B$10*(1-'Dados de entrada'!$E$3)))</f>
        <v/>
      </c>
      <c r="O126" s="71" t="str">
        <f>IF(A126="","",IF(AND(A126='Dados de entrada'!$E$2),(O125*(1+'Dados de entrada'!$B$6)-L126)*(1-'Dados de entrada'!$E$3),IF(AND(A126&lt;&gt;'Dados de entrada'!$A$2),O125*(1+'Dados de entrada'!$B$6)^(C126/30)-L126,"")))</f>
        <v/>
      </c>
      <c r="P126" s="71" t="str">
        <f>IF(A126="","",(O125*((1+'Dados de entrada'!$B$6)^(-DAYS360(B126,B125)/30)-1)-O125*((1+'Dados de entrada'!$H$10)^(-DAYS360(B126,B125)/360)-1))*4.65%)</f>
        <v/>
      </c>
      <c r="Q126" s="75" t="str">
        <f>IF(E126&lt;&gt;"",'Dados de entrada'!$H$5-E126*'Dados de entrada'!$H$6,"")</f>
        <v/>
      </c>
      <c r="R126" s="71" t="str">
        <f>IF(A126="","",IF(A126='Dados de entrada'!$E$2,PV('Dados de entrada'!$B$6,'Dados de entrada'!$B$10-'Dados de entrada'!$E$2+1,+L126*(-'Dados de entrada'!$E$3),,1)+L126*(1-'Dados de entrada'!$E$3)-M126-N126-P126-Q126,L126-M126-N126-P126-Q126))</f>
        <v/>
      </c>
      <c r="S126" s="74" t="str">
        <f t="shared" si="43"/>
        <v/>
      </c>
      <c r="T126" s="67" t="str">
        <f>IF(E126&lt;&gt;"",(-E126)/((1+'Dados de entrada'!$B$6)^(S126/30)),"")</f>
        <v/>
      </c>
      <c r="U126" s="67" t="str">
        <f t="shared" si="44"/>
        <v/>
      </c>
      <c r="V126" s="71" t="str">
        <f>IF(F126="","",-'Dados de entrada'!$B$2)</f>
        <v/>
      </c>
      <c r="X126" s="93">
        <f>+Resumo!$E$12-Resumo!$E$20</f>
        <v>0</v>
      </c>
      <c r="Y126" s="116">
        <f t="shared" si="31"/>
        <v>49955</v>
      </c>
      <c r="Z126" s="81">
        <v>30</v>
      </c>
      <c r="AA126" s="81">
        <f t="shared" ca="1" si="52"/>
        <v>3688</v>
      </c>
      <c r="AB126" s="93">
        <f>IF(A126&lt;='Dados de entrada'!$B$18,'Dados de entrada'!$B$20,0)</f>
        <v>0</v>
      </c>
      <c r="AC126" s="93">
        <f>IF(OR(Resumo!$E$23&gt;0,Resumo!$E$28&gt;0,Resumo!$E$33&gt;0),IF(AND(A126&gt;'Dados de entrada'!$B$18,A126&lt;='Dados de entrada'!$B$10),'Dados de entrada'!$B$21,0),IF(AND(A126&gt;'Dados de entrada'!$B$18,A126&lt;='Dados de entrada'!$B$10),'Dados de entrada'!$B$21,IF(A126&lt;='Dados de entrada'!$B$18,X126,0)))</f>
        <v>0</v>
      </c>
      <c r="AD126" s="93">
        <f ca="1">AC126/((1+'Dados de entrada'!$D$22)^($AA126/360))</f>
        <v>0</v>
      </c>
      <c r="AE126" s="93">
        <f>IF(A126&lt;='Dados de entrada'!$B$27,'Dados de entrada'!$B$29,0)</f>
        <v>0</v>
      </c>
      <c r="AF126" s="93">
        <f>IF(AND(A126&gt;'Dados de entrada'!$B$27,A126&lt;='Dados de entrada'!$B$10),'Dados de entrada'!$B$30,0)</f>
        <v>0</v>
      </c>
      <c r="AG126" s="93">
        <f ca="1">AF126/((1+'Dados de entrada'!$D$31)^($AA126/360))</f>
        <v>0</v>
      </c>
      <c r="AH126" s="93">
        <f>IF(A126&lt;='Dados de entrada'!$B$36,'Dados de entrada'!$B$38,0)</f>
        <v>0</v>
      </c>
      <c r="AI126" s="93">
        <f>IF(AND(A126&gt;'Dados de entrada'!$B$36,A126&lt;='Dados de entrada'!$B$10),'Dados de entrada'!$B$39,0)</f>
        <v>0</v>
      </c>
      <c r="AJ126" s="93">
        <f ca="1">AI126/((1+'Dados de entrada'!$D$40)^($AA126/360))</f>
        <v>0</v>
      </c>
      <c r="AK126" s="93">
        <f>IF(A126&lt;='Dados de entrada'!$B$45,'Dados de entrada'!$B$47,0)</f>
        <v>0</v>
      </c>
      <c r="AL126" s="93">
        <f>IF(AND(A126&gt;'Dados de entrada'!$B$45,A126&lt;='Dados de entrada'!$B$10),'Dados de entrada'!$B$48,0)</f>
        <v>0</v>
      </c>
      <c r="AM126" s="93">
        <f ca="1">AL126/((1+'Dados de entrada'!$D$49)^($AA126/360))</f>
        <v>0</v>
      </c>
      <c r="AN126" s="85">
        <f t="shared" si="30"/>
        <v>0</v>
      </c>
    </row>
    <row r="127" spans="1:40">
      <c r="A127" s="69" t="str">
        <f>IF(A126="","",IF(A126+1&lt;='Dados de entrada'!$B$10,A126+1,""))</f>
        <v/>
      </c>
      <c r="B127" s="70" t="str">
        <f t="shared" si="45"/>
        <v/>
      </c>
      <c r="C127" s="69" t="str">
        <f t="shared" si="46"/>
        <v/>
      </c>
      <c r="D127" s="71" t="str">
        <f>IF(A127="","",F126*(1+'Dados de entrada'!$B$6)^(C127/30))</f>
        <v/>
      </c>
      <c r="E127" s="71" t="str">
        <f>IF(A127="","",-'Dados de entrada'!$J$20)</f>
        <v/>
      </c>
      <c r="F127" s="71" t="str">
        <f t="shared" si="47"/>
        <v/>
      </c>
      <c r="G127" s="71" t="str">
        <f t="shared" si="48"/>
        <v/>
      </c>
      <c r="H127" s="69" t="str">
        <f t="shared" si="49"/>
        <v/>
      </c>
      <c r="I127" s="71" t="str">
        <f>IF(A127="","",MIN(H127,365)*G127*'Dados de entrada'!$B$11+G127*'Dados de entrada'!$B$12)</f>
        <v/>
      </c>
      <c r="J127" s="71" t="str">
        <f t="shared" si="50"/>
        <v/>
      </c>
      <c r="K127" s="71" t="str">
        <f t="shared" si="51"/>
        <v/>
      </c>
      <c r="L127" s="72" t="str">
        <f>IF(A127="","",IF(A127&lt;='Dados de entrada'!$J$2,-V126,-V126*(1-'Dados de entrada'!$J$3)))</f>
        <v/>
      </c>
      <c r="M127" s="72" t="str">
        <f>IF(A127="","",L127*'Dados de entrada'!$E$4)</f>
        <v/>
      </c>
      <c r="N127" s="72" t="str">
        <f>IF(A127="","",IF(A127&lt;='Dados de entrada'!$E$2,'Dados de entrada'!$E$13*'Dados de entrada'!$E$10/'Dados de entrada'!$B$10,'Dados de entrada'!$E$13*'Dados de entrada'!$E$10/'Dados de entrada'!$B$10*(1-'Dados de entrada'!$E$3)))</f>
        <v/>
      </c>
      <c r="O127" s="71" t="str">
        <f>IF(A127="","",IF(AND(A127='Dados de entrada'!$E$2),(O126*(1+'Dados de entrada'!$B$6)-L127)*(1-'Dados de entrada'!$E$3),IF(AND(A127&lt;&gt;'Dados de entrada'!$A$2),O126*(1+'Dados de entrada'!$B$6)^(C127/30)-L127,"")))</f>
        <v/>
      </c>
      <c r="P127" s="71" t="str">
        <f>IF(A127="","",(O126*((1+'Dados de entrada'!$B$6)^(-DAYS360(B127,B126)/30)-1)-O126*((1+'Dados de entrada'!$H$10)^(-DAYS360(B127,B126)/360)-1))*4.65%)</f>
        <v/>
      </c>
      <c r="Q127" s="75" t="str">
        <f>IF(E127&lt;&gt;"",'Dados de entrada'!$H$5-E127*'Dados de entrada'!$H$6,"")</f>
        <v/>
      </c>
      <c r="R127" s="71" t="str">
        <f>IF(A127="","",IF(A127='Dados de entrada'!$E$2,PV('Dados de entrada'!$B$6,'Dados de entrada'!$B$10-'Dados de entrada'!$E$2+1,+L127*(-'Dados de entrada'!$E$3),,1)+L127*(1-'Dados de entrada'!$E$3)-M127-N127-P127-Q127,L127-M127-N127-P127-Q127))</f>
        <v/>
      </c>
      <c r="S127" s="74" t="str">
        <f t="shared" si="43"/>
        <v/>
      </c>
      <c r="T127" s="67" t="str">
        <f>IF(E127&lt;&gt;"",(-E127)/((1+'Dados de entrada'!$B$6)^(S127/30)),"")</f>
        <v/>
      </c>
      <c r="U127" s="67" t="str">
        <f t="shared" si="44"/>
        <v/>
      </c>
      <c r="V127" s="71" t="str">
        <f>IF(F127="","",-'Dados de entrada'!$B$2)</f>
        <v/>
      </c>
      <c r="X127" s="93">
        <f>+Resumo!$E$12-Resumo!$E$20</f>
        <v>0</v>
      </c>
      <c r="Y127" s="116">
        <f t="shared" si="31"/>
        <v>49986</v>
      </c>
      <c r="Z127" s="81">
        <v>30</v>
      </c>
      <c r="AA127" s="81">
        <f t="shared" ca="1" si="52"/>
        <v>3718</v>
      </c>
      <c r="AB127" s="93">
        <f>IF(A127&lt;='Dados de entrada'!$B$18,'Dados de entrada'!$B$20,0)</f>
        <v>0</v>
      </c>
      <c r="AC127" s="93">
        <f>IF(OR(Resumo!$E$23&gt;0,Resumo!$E$28&gt;0,Resumo!$E$33&gt;0),IF(AND(A127&gt;'Dados de entrada'!$B$18,A127&lt;='Dados de entrada'!$B$10),'Dados de entrada'!$B$21,0),IF(AND(A127&gt;'Dados de entrada'!$B$18,A127&lt;='Dados de entrada'!$B$10),'Dados de entrada'!$B$21,IF(A127&lt;='Dados de entrada'!$B$18,X127,0)))</f>
        <v>0</v>
      </c>
      <c r="AD127" s="93">
        <f ca="1">AC127/((1+'Dados de entrada'!$D$22)^($AA127/360))</f>
        <v>0</v>
      </c>
      <c r="AE127" s="93">
        <f>IF(A127&lt;='Dados de entrada'!$B$27,'Dados de entrada'!$B$29,0)</f>
        <v>0</v>
      </c>
      <c r="AF127" s="93">
        <f>IF(AND(A127&gt;'Dados de entrada'!$B$27,A127&lt;='Dados de entrada'!$B$10),'Dados de entrada'!$B$30,0)</f>
        <v>0</v>
      </c>
      <c r="AG127" s="93">
        <f ca="1">AF127/((1+'Dados de entrada'!$D$31)^($AA127/360))</f>
        <v>0</v>
      </c>
      <c r="AH127" s="93">
        <f>IF(A127&lt;='Dados de entrada'!$B$36,'Dados de entrada'!$B$38,0)</f>
        <v>0</v>
      </c>
      <c r="AI127" s="93">
        <f>IF(AND(A127&gt;'Dados de entrada'!$B$36,A127&lt;='Dados de entrada'!$B$10),'Dados de entrada'!$B$39,0)</f>
        <v>0</v>
      </c>
      <c r="AJ127" s="93">
        <f ca="1">AI127/((1+'Dados de entrada'!$D$40)^($AA127/360))</f>
        <v>0</v>
      </c>
      <c r="AK127" s="93">
        <f>IF(A127&lt;='Dados de entrada'!$B$45,'Dados de entrada'!$B$47,0)</f>
        <v>0</v>
      </c>
      <c r="AL127" s="93">
        <f>IF(AND(A127&gt;'Dados de entrada'!$B$45,A127&lt;='Dados de entrada'!$B$10),'Dados de entrada'!$B$48,0)</f>
        <v>0</v>
      </c>
      <c r="AM127" s="93">
        <f ca="1">AL127/((1+'Dados de entrada'!$D$49)^($AA127/360))</f>
        <v>0</v>
      </c>
      <c r="AN127" s="85">
        <f t="shared" si="30"/>
        <v>0</v>
      </c>
    </row>
    <row r="128" spans="1:40">
      <c r="A128" s="69" t="str">
        <f>IF(A127="","",IF(A127+1&lt;='Dados de entrada'!$B$10,A127+1,""))</f>
        <v/>
      </c>
      <c r="B128" s="70" t="str">
        <f t="shared" si="45"/>
        <v/>
      </c>
      <c r="C128" s="69" t="str">
        <f t="shared" si="46"/>
        <v/>
      </c>
      <c r="D128" s="71" t="str">
        <f>IF(A128="","",F127*(1+'Dados de entrada'!$B$6)^(C128/30))</f>
        <v/>
      </c>
      <c r="E128" s="71" t="str">
        <f>IF(A128="","",-'Dados de entrada'!$J$20)</f>
        <v/>
      </c>
      <c r="F128" s="71" t="str">
        <f t="shared" si="47"/>
        <v/>
      </c>
      <c r="G128" s="71" t="str">
        <f t="shared" si="48"/>
        <v/>
      </c>
      <c r="H128" s="69" t="str">
        <f t="shared" si="49"/>
        <v/>
      </c>
      <c r="I128" s="71" t="str">
        <f>IF(A128="","",MIN(H128,365)*G128*'Dados de entrada'!$B$11+G128*'Dados de entrada'!$B$12)</f>
        <v/>
      </c>
      <c r="J128" s="71" t="str">
        <f t="shared" si="50"/>
        <v/>
      </c>
      <c r="K128" s="71" t="str">
        <f t="shared" si="51"/>
        <v/>
      </c>
      <c r="L128" s="72" t="str">
        <f>IF(A128="","",IF(A128&lt;='Dados de entrada'!$J$2,-V127,-V127*(1-'Dados de entrada'!$J$3)))</f>
        <v/>
      </c>
      <c r="M128" s="72" t="str">
        <f>IF(A128="","",L128*'Dados de entrada'!$E$4)</f>
        <v/>
      </c>
      <c r="N128" s="72" t="str">
        <f>IF(A128="","",IF(A128&lt;='Dados de entrada'!$E$2,'Dados de entrada'!$E$13*'Dados de entrada'!$E$10/'Dados de entrada'!$B$10,'Dados de entrada'!$E$13*'Dados de entrada'!$E$10/'Dados de entrada'!$B$10*(1-'Dados de entrada'!$E$3)))</f>
        <v/>
      </c>
      <c r="O128" s="71" t="str">
        <f>IF(A128="","",IF(AND(A128='Dados de entrada'!$E$2),(O127*(1+'Dados de entrada'!$B$6)-L128)*(1-'Dados de entrada'!$E$3),IF(AND(A128&lt;&gt;'Dados de entrada'!$A$2),O127*(1+'Dados de entrada'!$B$6)^(C128/30)-L128,"")))</f>
        <v/>
      </c>
      <c r="P128" s="71" t="str">
        <f>IF(A128="","",(O127*((1+'Dados de entrada'!$B$6)^(-DAYS360(B128,B127)/30)-1)-O127*((1+'Dados de entrada'!$H$10)^(-DAYS360(B128,B127)/360)-1))*4.65%)</f>
        <v/>
      </c>
      <c r="Q128" s="75" t="str">
        <f>IF(E128&lt;&gt;"",'Dados de entrada'!$H$5-E128*'Dados de entrada'!$H$6,"")</f>
        <v/>
      </c>
      <c r="R128" s="71" t="str">
        <f>IF(A128="","",IF(A128='Dados de entrada'!$E$2,PV('Dados de entrada'!$B$6,'Dados de entrada'!$B$10-'Dados de entrada'!$E$2+1,+L128*(-'Dados de entrada'!$E$3),,1)+L128*(1-'Dados de entrada'!$E$3)-M128-N128-P128-Q128,L128-M128-N128-P128-Q128))</f>
        <v/>
      </c>
      <c r="S128" s="74" t="str">
        <f t="shared" si="43"/>
        <v/>
      </c>
      <c r="T128" s="67" t="str">
        <f>IF(E128&lt;&gt;"",(-E128)/((1+'Dados de entrada'!$B$6)^(S128/30)),"")</f>
        <v/>
      </c>
      <c r="U128" s="67" t="str">
        <f t="shared" si="44"/>
        <v/>
      </c>
      <c r="V128" s="71" t="str">
        <f>IF(F128="","",-'Dados de entrada'!$B$2)</f>
        <v/>
      </c>
      <c r="X128" s="93">
        <f>+Resumo!$E$12-Resumo!$E$20</f>
        <v>0</v>
      </c>
      <c r="Y128" s="116">
        <f t="shared" si="31"/>
        <v>50016</v>
      </c>
      <c r="Z128" s="81">
        <v>30</v>
      </c>
      <c r="AA128" s="81">
        <f t="shared" ca="1" si="52"/>
        <v>3748</v>
      </c>
      <c r="AB128" s="93">
        <f>IF(A128&lt;='Dados de entrada'!$B$18,'Dados de entrada'!$B$20,0)</f>
        <v>0</v>
      </c>
      <c r="AC128" s="93">
        <f>IF(OR(Resumo!$E$23&gt;0,Resumo!$E$28&gt;0,Resumo!$E$33&gt;0),IF(AND(A128&gt;'Dados de entrada'!$B$18,A128&lt;='Dados de entrada'!$B$10),'Dados de entrada'!$B$21,0),IF(AND(A128&gt;'Dados de entrada'!$B$18,A128&lt;='Dados de entrada'!$B$10),'Dados de entrada'!$B$21,IF(A128&lt;='Dados de entrada'!$B$18,X128,0)))</f>
        <v>0</v>
      </c>
      <c r="AD128" s="93">
        <f ca="1">AC128/((1+'Dados de entrada'!$D$22)^($AA128/360))</f>
        <v>0</v>
      </c>
      <c r="AE128" s="93">
        <f>IF(A128&lt;='Dados de entrada'!$B$27,'Dados de entrada'!$B$29,0)</f>
        <v>0</v>
      </c>
      <c r="AF128" s="93">
        <f>IF(AND(A128&gt;'Dados de entrada'!$B$27,A128&lt;='Dados de entrada'!$B$10),'Dados de entrada'!$B$30,0)</f>
        <v>0</v>
      </c>
      <c r="AG128" s="93">
        <f ca="1">AF128/((1+'Dados de entrada'!$D$31)^($AA128/360))</f>
        <v>0</v>
      </c>
      <c r="AH128" s="93">
        <f>IF(A128&lt;='Dados de entrada'!$B$36,'Dados de entrada'!$B$38,0)</f>
        <v>0</v>
      </c>
      <c r="AI128" s="93">
        <f>IF(AND(A128&gt;'Dados de entrada'!$B$36,A128&lt;='Dados de entrada'!$B$10),'Dados de entrada'!$B$39,0)</f>
        <v>0</v>
      </c>
      <c r="AJ128" s="93">
        <f ca="1">AI128/((1+'Dados de entrada'!$D$40)^($AA128/360))</f>
        <v>0</v>
      </c>
      <c r="AK128" s="93">
        <f>IF(A128&lt;='Dados de entrada'!$B$45,'Dados de entrada'!$B$47,0)</f>
        <v>0</v>
      </c>
      <c r="AL128" s="93">
        <f>IF(AND(A128&gt;'Dados de entrada'!$B$45,A128&lt;='Dados de entrada'!$B$10),'Dados de entrada'!$B$48,0)</f>
        <v>0</v>
      </c>
      <c r="AM128" s="93">
        <f ca="1">AL128/((1+'Dados de entrada'!$D$49)^($AA128/360))</f>
        <v>0</v>
      </c>
      <c r="AN128" s="85">
        <f t="shared" si="30"/>
        <v>0</v>
      </c>
    </row>
    <row r="129" spans="1:40">
      <c r="A129" s="69" t="str">
        <f>IF(A128="","",IF(A128+1&lt;='Dados de entrada'!$B$10,A128+1,""))</f>
        <v/>
      </c>
      <c r="B129" s="70" t="str">
        <f t="shared" si="45"/>
        <v/>
      </c>
      <c r="C129" s="69" t="str">
        <f t="shared" si="46"/>
        <v/>
      </c>
      <c r="D129" s="71" t="str">
        <f>IF(A129="","",F128*(1+'Dados de entrada'!$B$6)^(C129/30))</f>
        <v/>
      </c>
      <c r="E129" s="71" t="str">
        <f>IF(A129="","",-'Dados de entrada'!$J$20)</f>
        <v/>
      </c>
      <c r="F129" s="71" t="str">
        <f t="shared" si="47"/>
        <v/>
      </c>
      <c r="G129" s="71" t="str">
        <f t="shared" si="48"/>
        <v/>
      </c>
      <c r="H129" s="69" t="str">
        <f t="shared" si="49"/>
        <v/>
      </c>
      <c r="I129" s="71" t="str">
        <f>IF(A129="","",MIN(H129,365)*G129*'Dados de entrada'!$B$11+G129*'Dados de entrada'!$B$12)</f>
        <v/>
      </c>
      <c r="J129" s="71" t="str">
        <f t="shared" si="50"/>
        <v/>
      </c>
      <c r="K129" s="71" t="str">
        <f t="shared" si="51"/>
        <v/>
      </c>
      <c r="L129" s="72" t="str">
        <f>IF(A129="","",IF(A129&lt;='Dados de entrada'!$J$2,-V128,-V128*(1-'Dados de entrada'!$J$3)))</f>
        <v/>
      </c>
      <c r="M129" s="72" t="str">
        <f>IF(A129="","",L129*'Dados de entrada'!$E$4)</f>
        <v/>
      </c>
      <c r="N129" s="72" t="str">
        <f>IF(A129="","",IF(A129&lt;='Dados de entrada'!$E$2,'Dados de entrada'!$E$13*'Dados de entrada'!$E$10/'Dados de entrada'!$B$10,'Dados de entrada'!$E$13*'Dados de entrada'!$E$10/'Dados de entrada'!$B$10*(1-'Dados de entrada'!$E$3)))</f>
        <v/>
      </c>
      <c r="O129" s="71" t="str">
        <f>IF(A129="","",IF(AND(A129='Dados de entrada'!$E$2),(O128*(1+'Dados de entrada'!$B$6)-L129)*(1-'Dados de entrada'!$E$3),IF(AND(A129&lt;&gt;'Dados de entrada'!$A$2),O128*(1+'Dados de entrada'!$B$6)^(C129/30)-L129,"")))</f>
        <v/>
      </c>
      <c r="P129" s="71" t="str">
        <f>IF(A129="","",(O128*((1+'Dados de entrada'!$B$6)^(-DAYS360(B129,B128)/30)-1)-O128*((1+'Dados de entrada'!$H$10)^(-DAYS360(B129,B128)/360)-1))*4.65%)</f>
        <v/>
      </c>
      <c r="Q129" s="75" t="str">
        <f>IF(E129&lt;&gt;"",'Dados de entrada'!$H$5-E129*'Dados de entrada'!$H$6,"")</f>
        <v/>
      </c>
      <c r="R129" s="71" t="str">
        <f>IF(A129="","",IF(A129='Dados de entrada'!$E$2,PV('Dados de entrada'!$B$6,'Dados de entrada'!$B$10-'Dados de entrada'!$E$2+1,+L129*(-'Dados de entrada'!$E$3),,1)+L129*(1-'Dados de entrada'!$E$3)-M129-N129-P129-Q129,L129-M129-N129-P129-Q129))</f>
        <v/>
      </c>
      <c r="S129" s="74" t="str">
        <f t="shared" si="43"/>
        <v/>
      </c>
      <c r="T129" s="67" t="str">
        <f>IF(E129&lt;&gt;"",(-E129)/((1+'Dados de entrada'!$B$6)^(S129/30)),"")</f>
        <v/>
      </c>
      <c r="U129" s="67" t="str">
        <f t="shared" si="44"/>
        <v/>
      </c>
      <c r="V129" s="71" t="str">
        <f>IF(F129="","",-'Dados de entrada'!$B$2)</f>
        <v/>
      </c>
      <c r="X129" s="93">
        <f>+Resumo!$E$12-Resumo!$E$20</f>
        <v>0</v>
      </c>
      <c r="Y129" s="116">
        <f t="shared" si="31"/>
        <v>50047</v>
      </c>
      <c r="Z129" s="81">
        <v>30</v>
      </c>
      <c r="AA129" s="81">
        <f t="shared" ca="1" si="52"/>
        <v>3778</v>
      </c>
      <c r="AB129" s="93">
        <f>IF(A129&lt;='Dados de entrada'!$B$18,'Dados de entrada'!$B$20,0)</f>
        <v>0</v>
      </c>
      <c r="AC129" s="93">
        <f>IF(OR(Resumo!$E$23&gt;0,Resumo!$E$28&gt;0,Resumo!$E$33&gt;0),IF(AND(A129&gt;'Dados de entrada'!$B$18,A129&lt;='Dados de entrada'!$B$10),'Dados de entrada'!$B$21,0),IF(AND(A129&gt;'Dados de entrada'!$B$18,A129&lt;='Dados de entrada'!$B$10),'Dados de entrada'!$B$21,IF(A129&lt;='Dados de entrada'!$B$18,X129,0)))</f>
        <v>0</v>
      </c>
      <c r="AD129" s="93">
        <f ca="1">AC129/((1+'Dados de entrada'!$D$22)^($AA129/360))</f>
        <v>0</v>
      </c>
      <c r="AE129" s="93">
        <f>IF(A129&lt;='Dados de entrada'!$B$27,'Dados de entrada'!$B$29,0)</f>
        <v>0</v>
      </c>
      <c r="AF129" s="93">
        <f>IF(AND(A129&gt;'Dados de entrada'!$B$27,A129&lt;='Dados de entrada'!$B$10),'Dados de entrada'!$B$30,0)</f>
        <v>0</v>
      </c>
      <c r="AG129" s="93">
        <f ca="1">AF129/((1+'Dados de entrada'!$D$31)^($AA129/360))</f>
        <v>0</v>
      </c>
      <c r="AH129" s="93">
        <f>IF(A129&lt;='Dados de entrada'!$B$36,'Dados de entrada'!$B$38,0)</f>
        <v>0</v>
      </c>
      <c r="AI129" s="93">
        <f>IF(AND(A129&gt;'Dados de entrada'!$B$36,A129&lt;='Dados de entrada'!$B$10),'Dados de entrada'!$B$39,0)</f>
        <v>0</v>
      </c>
      <c r="AJ129" s="93">
        <f ca="1">AI129/((1+'Dados de entrada'!$D$40)^($AA129/360))</f>
        <v>0</v>
      </c>
      <c r="AK129" s="93">
        <f>IF(A129&lt;='Dados de entrada'!$B$45,'Dados de entrada'!$B$47,0)</f>
        <v>0</v>
      </c>
      <c r="AL129" s="93">
        <f>IF(AND(A129&gt;'Dados de entrada'!$B$45,A129&lt;='Dados de entrada'!$B$10),'Dados de entrada'!$B$48,0)</f>
        <v>0</v>
      </c>
      <c r="AM129" s="93">
        <f ca="1">AL129/((1+'Dados de entrada'!$D$49)^($AA129/360))</f>
        <v>0</v>
      </c>
      <c r="AN129" s="85">
        <f t="shared" si="30"/>
        <v>0</v>
      </c>
    </row>
    <row r="130" spans="1:40">
      <c r="A130" s="69" t="str">
        <f>IF(A129="","",IF(A129+1&lt;='Dados de entrada'!$B$10,A129+1,""))</f>
        <v/>
      </c>
      <c r="B130" s="70" t="str">
        <f t="shared" si="45"/>
        <v/>
      </c>
      <c r="C130" s="69" t="str">
        <f t="shared" si="46"/>
        <v/>
      </c>
      <c r="D130" s="71" t="str">
        <f>IF(A130="","",F129*(1+'Dados de entrada'!$B$6)^(C130/30))</f>
        <v/>
      </c>
      <c r="E130" s="71" t="str">
        <f>IF(A130="","",-'Dados de entrada'!$J$20)</f>
        <v/>
      </c>
      <c r="F130" s="71" t="str">
        <f t="shared" si="47"/>
        <v/>
      </c>
      <c r="G130" s="71" t="str">
        <f t="shared" si="48"/>
        <v/>
      </c>
      <c r="H130" s="69" t="str">
        <f t="shared" si="49"/>
        <v/>
      </c>
      <c r="I130" s="71" t="str">
        <f>IF(A130="","",MIN(H130,365)*G130*'Dados de entrada'!$B$11+G130*'Dados de entrada'!$B$12)</f>
        <v/>
      </c>
      <c r="J130" s="71" t="str">
        <f t="shared" si="50"/>
        <v/>
      </c>
      <c r="K130" s="71" t="str">
        <f t="shared" si="51"/>
        <v/>
      </c>
      <c r="L130" s="72" t="str">
        <f>IF(A130="","",IF(A130&lt;='Dados de entrada'!$J$2,-V129,-V129*(1-'Dados de entrada'!$J$3)))</f>
        <v/>
      </c>
      <c r="M130" s="72" t="str">
        <f>IF(A130="","",L130*'Dados de entrada'!$E$4)</f>
        <v/>
      </c>
      <c r="N130" s="72" t="str">
        <f>IF(A130="","",IF(A130&lt;='Dados de entrada'!$E$2,'Dados de entrada'!$E$13*'Dados de entrada'!$E$10/'Dados de entrada'!$B$10,'Dados de entrada'!$E$13*'Dados de entrada'!$E$10/'Dados de entrada'!$B$10*(1-'Dados de entrada'!$E$3)))</f>
        <v/>
      </c>
      <c r="O130" s="71" t="str">
        <f>IF(A130="","",IF(AND(A130='Dados de entrada'!$E$2),(O129*(1+'Dados de entrada'!$B$6)-L130)*(1-'Dados de entrada'!$E$3),IF(AND(A130&lt;&gt;'Dados de entrada'!$A$2),O129*(1+'Dados de entrada'!$B$6)^(C130/30)-L130,"")))</f>
        <v/>
      </c>
      <c r="P130" s="71" t="str">
        <f>IF(A130="","",(O129*((1+'Dados de entrada'!$B$6)^(-DAYS360(B130,B129)/30)-1)-O129*((1+'Dados de entrada'!$H$10)^(-DAYS360(B130,B129)/360)-1))*4.65%)</f>
        <v/>
      </c>
      <c r="Q130" s="75" t="str">
        <f>IF(E130&lt;&gt;"",'Dados de entrada'!$H$5-E130*'Dados de entrada'!$H$6,"")</f>
        <v/>
      </c>
      <c r="R130" s="71" t="str">
        <f>IF(A130="","",IF(A130='Dados de entrada'!$E$2,PV('Dados de entrada'!$B$6,'Dados de entrada'!$B$10-'Dados de entrada'!$E$2+1,+L130*(-'Dados de entrada'!$E$3),,1)+L130*(1-'Dados de entrada'!$E$3)-M130-N130-P130-Q130,L130-M130-N130-P130-Q130))</f>
        <v/>
      </c>
      <c r="S130" s="74" t="str">
        <f t="shared" si="43"/>
        <v/>
      </c>
      <c r="T130" s="67" t="str">
        <f>IF(E130&lt;&gt;"",(-E130)/((1+'Dados de entrada'!$B$6)^(S130/30)),"")</f>
        <v/>
      </c>
      <c r="U130" s="67" t="str">
        <f t="shared" si="44"/>
        <v/>
      </c>
      <c r="V130" s="71" t="str">
        <f>IF(F130="","",-'Dados de entrada'!$B$2)</f>
        <v/>
      </c>
      <c r="X130" s="93">
        <f>+Resumo!$E$12-Resumo!$E$20</f>
        <v>0</v>
      </c>
      <c r="Y130" s="116">
        <f t="shared" si="31"/>
        <v>50078</v>
      </c>
      <c r="Z130" s="81">
        <v>30</v>
      </c>
      <c r="AA130" s="81">
        <f t="shared" ca="1" si="52"/>
        <v>3808</v>
      </c>
      <c r="AB130" s="93">
        <f>IF(A130&lt;='Dados de entrada'!$B$18,'Dados de entrada'!$B$20,0)</f>
        <v>0</v>
      </c>
      <c r="AC130" s="93">
        <f>IF(OR(Resumo!$E$23&gt;0,Resumo!$E$28&gt;0,Resumo!$E$33&gt;0),IF(AND(A130&gt;'Dados de entrada'!$B$18,A130&lt;='Dados de entrada'!$B$10),'Dados de entrada'!$B$21,0),IF(AND(A130&gt;'Dados de entrada'!$B$18,A130&lt;='Dados de entrada'!$B$10),'Dados de entrada'!$B$21,IF(A130&lt;='Dados de entrada'!$B$18,X130,0)))</f>
        <v>0</v>
      </c>
      <c r="AD130" s="93">
        <f ca="1">AC130/((1+'Dados de entrada'!$D$22)^($AA130/360))</f>
        <v>0</v>
      </c>
      <c r="AE130" s="93">
        <f>IF(A130&lt;='Dados de entrada'!$B$27,'Dados de entrada'!$B$29,0)</f>
        <v>0</v>
      </c>
      <c r="AF130" s="93">
        <f>IF(AND(A130&gt;'Dados de entrada'!$B$27,A130&lt;='Dados de entrada'!$B$10),'Dados de entrada'!$B$30,0)</f>
        <v>0</v>
      </c>
      <c r="AG130" s="93">
        <f ca="1">AF130/((1+'Dados de entrada'!$D$31)^($AA130/360))</f>
        <v>0</v>
      </c>
      <c r="AH130" s="93">
        <f>IF(A130&lt;='Dados de entrada'!$B$36,'Dados de entrada'!$B$38,0)</f>
        <v>0</v>
      </c>
      <c r="AI130" s="93">
        <f>IF(AND(A130&gt;'Dados de entrada'!$B$36,A130&lt;='Dados de entrada'!$B$10),'Dados de entrada'!$B$39,0)</f>
        <v>0</v>
      </c>
      <c r="AJ130" s="93">
        <f ca="1">AI130/((1+'Dados de entrada'!$D$40)^($AA130/360))</f>
        <v>0</v>
      </c>
      <c r="AK130" s="93">
        <f>IF(A130&lt;='Dados de entrada'!$B$45,'Dados de entrada'!$B$47,0)</f>
        <v>0</v>
      </c>
      <c r="AL130" s="93">
        <f>IF(AND(A130&gt;'Dados de entrada'!$B$45,A130&lt;='Dados de entrada'!$B$10),'Dados de entrada'!$B$48,0)</f>
        <v>0</v>
      </c>
      <c r="AM130" s="93">
        <f ca="1">AL130/((1+'Dados de entrada'!$D$49)^($AA130/360))</f>
        <v>0</v>
      </c>
      <c r="AN130" s="85">
        <f t="shared" si="30"/>
        <v>0</v>
      </c>
    </row>
    <row r="131" spans="1:40">
      <c r="A131" s="69" t="str">
        <f>IF(A130="","",IF(A130+1&lt;='Dados de entrada'!$B$10,A130+1,""))</f>
        <v/>
      </c>
      <c r="B131" s="70" t="str">
        <f t="shared" si="45"/>
        <v/>
      </c>
      <c r="C131" s="69" t="str">
        <f t="shared" si="46"/>
        <v/>
      </c>
      <c r="D131" s="71" t="str">
        <f>IF(A131="","",F130*(1+'Dados de entrada'!$B$6)^(C131/30))</f>
        <v/>
      </c>
      <c r="E131" s="71" t="str">
        <f>IF(A131="","",-'Dados de entrada'!$J$20)</f>
        <v/>
      </c>
      <c r="F131" s="71" t="str">
        <f t="shared" si="47"/>
        <v/>
      </c>
      <c r="G131" s="71" t="str">
        <f t="shared" si="48"/>
        <v/>
      </c>
      <c r="H131" s="69" t="str">
        <f t="shared" si="49"/>
        <v/>
      </c>
      <c r="I131" s="71" t="str">
        <f>IF(A131="","",MIN(H131,365)*G131*'Dados de entrada'!$B$11+G131*'Dados de entrada'!$B$12)</f>
        <v/>
      </c>
      <c r="J131" s="71" t="str">
        <f t="shared" si="50"/>
        <v/>
      </c>
      <c r="K131" s="71" t="str">
        <f t="shared" si="51"/>
        <v/>
      </c>
      <c r="L131" s="72" t="str">
        <f>IF(A131="","",IF(A131&lt;='Dados de entrada'!$J$2,-V130,-V130*(1-'Dados de entrada'!$J$3)))</f>
        <v/>
      </c>
      <c r="M131" s="72" t="str">
        <f>IF(A131="","",L131*'Dados de entrada'!$E$4)</f>
        <v/>
      </c>
      <c r="N131" s="72" t="str">
        <f>IF(A131="","",IF(A131&lt;='Dados de entrada'!$E$2,'Dados de entrada'!$E$13*'Dados de entrada'!$E$10/'Dados de entrada'!$B$10,'Dados de entrada'!$E$13*'Dados de entrada'!$E$10/'Dados de entrada'!$B$10*(1-'Dados de entrada'!$E$3)))</f>
        <v/>
      </c>
      <c r="O131" s="71" t="str">
        <f>IF(A131="","",IF(AND(A131='Dados de entrada'!$E$2),(O130*(1+'Dados de entrada'!$B$6)-L131)*(1-'Dados de entrada'!$E$3),IF(AND(A131&lt;&gt;'Dados de entrada'!$A$2),O130*(1+'Dados de entrada'!$B$6)^(C131/30)-L131,"")))</f>
        <v/>
      </c>
      <c r="P131" s="71" t="str">
        <f>IF(A131="","",(O130*((1+'Dados de entrada'!$B$6)^(-DAYS360(B131,B130)/30)-1)-O130*((1+'Dados de entrada'!$H$10)^(-DAYS360(B131,B130)/360)-1))*4.65%)</f>
        <v/>
      </c>
      <c r="Q131" s="75" t="str">
        <f>IF(E131&lt;&gt;"",'Dados de entrada'!$H$5-E131*'Dados de entrada'!$H$6,"")</f>
        <v/>
      </c>
      <c r="R131" s="71" t="str">
        <f>IF(A131="","",IF(A131='Dados de entrada'!$E$2,PV('Dados de entrada'!$B$6,'Dados de entrada'!$B$10-'Dados de entrada'!$E$2+1,+L131*(-'Dados de entrada'!$E$3),,1)+L131*(1-'Dados de entrada'!$E$3)-M131-N131-P131-Q131,L131-M131-N131-P131-Q131))</f>
        <v/>
      </c>
      <c r="S131" s="74" t="str">
        <f t="shared" si="43"/>
        <v/>
      </c>
      <c r="T131" s="67" t="str">
        <f>IF(E131&lt;&gt;"",(-E131)/((1+'Dados de entrada'!$B$6)^(S131/30)),"")</f>
        <v/>
      </c>
      <c r="U131" s="67" t="str">
        <f t="shared" si="44"/>
        <v/>
      </c>
      <c r="V131" s="71" t="str">
        <f>IF(F131="","",-'Dados de entrada'!$B$2)</f>
        <v/>
      </c>
      <c r="X131" s="93">
        <f>+Resumo!$E$12-Resumo!$E$20</f>
        <v>0</v>
      </c>
      <c r="Y131" s="116">
        <f t="shared" si="31"/>
        <v>50106</v>
      </c>
      <c r="Z131" s="81">
        <v>30</v>
      </c>
      <c r="AA131" s="81">
        <f t="shared" ca="1" si="52"/>
        <v>3838</v>
      </c>
      <c r="AB131" s="93">
        <f>IF(A131&lt;='Dados de entrada'!$B$18,'Dados de entrada'!$B$20,0)</f>
        <v>0</v>
      </c>
      <c r="AC131" s="93">
        <f>IF(OR(Resumo!$E$23&gt;0,Resumo!$E$28&gt;0,Resumo!$E$33&gt;0),IF(AND(A131&gt;'Dados de entrada'!$B$18,A131&lt;='Dados de entrada'!$B$10),'Dados de entrada'!$B$21,0),IF(AND(A131&gt;'Dados de entrada'!$B$18,A131&lt;='Dados de entrada'!$B$10),'Dados de entrada'!$B$21,IF(A131&lt;='Dados de entrada'!$B$18,X131,0)))</f>
        <v>0</v>
      </c>
      <c r="AD131" s="93">
        <f ca="1">AC131/((1+'Dados de entrada'!$D$22)^($AA131/360))</f>
        <v>0</v>
      </c>
      <c r="AE131" s="93">
        <f>IF(A131&lt;='Dados de entrada'!$B$27,'Dados de entrada'!$B$29,0)</f>
        <v>0</v>
      </c>
      <c r="AF131" s="93">
        <f>IF(AND(A131&gt;'Dados de entrada'!$B$27,A131&lt;='Dados de entrada'!$B$10),'Dados de entrada'!$B$30,0)</f>
        <v>0</v>
      </c>
      <c r="AG131" s="93">
        <f ca="1">AF131/((1+'Dados de entrada'!$D$31)^($AA131/360))</f>
        <v>0</v>
      </c>
      <c r="AH131" s="93">
        <f>IF(A131&lt;='Dados de entrada'!$B$36,'Dados de entrada'!$B$38,0)</f>
        <v>0</v>
      </c>
      <c r="AI131" s="93">
        <f>IF(AND(A131&gt;'Dados de entrada'!$B$36,A131&lt;='Dados de entrada'!$B$10),'Dados de entrada'!$B$39,0)</f>
        <v>0</v>
      </c>
      <c r="AJ131" s="93">
        <f ca="1">AI131/((1+'Dados de entrada'!$D$40)^($AA131/360))</f>
        <v>0</v>
      </c>
      <c r="AK131" s="93">
        <f>IF(A131&lt;='Dados de entrada'!$B$45,'Dados de entrada'!$B$47,0)</f>
        <v>0</v>
      </c>
      <c r="AL131" s="93">
        <f>IF(AND(A131&gt;'Dados de entrada'!$B$45,A131&lt;='Dados de entrada'!$B$10),'Dados de entrada'!$B$48,0)</f>
        <v>0</v>
      </c>
      <c r="AM131" s="93">
        <f ca="1">AL131/((1+'Dados de entrada'!$D$49)^($AA131/360))</f>
        <v>0</v>
      </c>
      <c r="AN131" s="85">
        <f t="shared" si="30"/>
        <v>0</v>
      </c>
    </row>
    <row r="132" spans="1:40">
      <c r="A132" s="69" t="str">
        <f>IF(A131="","",IF(A131+1&lt;='Dados de entrada'!$B$10,A131+1,""))</f>
        <v/>
      </c>
      <c r="B132" s="70" t="str">
        <f t="shared" si="45"/>
        <v/>
      </c>
      <c r="C132" s="69" t="str">
        <f t="shared" si="46"/>
        <v/>
      </c>
      <c r="D132" s="71" t="str">
        <f>IF(A132="","",F131*(1+'Dados de entrada'!$B$6)^(C132/30))</f>
        <v/>
      </c>
      <c r="E132" s="71" t="str">
        <f>IF(A132="","",-'Dados de entrada'!$J$20)</f>
        <v/>
      </c>
      <c r="F132" s="71" t="str">
        <f t="shared" si="47"/>
        <v/>
      </c>
      <c r="G132" s="71" t="str">
        <f t="shared" si="48"/>
        <v/>
      </c>
      <c r="H132" s="69" t="str">
        <f t="shared" si="49"/>
        <v/>
      </c>
      <c r="I132" s="71" t="str">
        <f>IF(A132="","",MIN(H132,365)*G132*'Dados de entrada'!$B$11+G132*'Dados de entrada'!$B$12)</f>
        <v/>
      </c>
      <c r="J132" s="71" t="str">
        <f t="shared" si="50"/>
        <v/>
      </c>
      <c r="K132" s="71" t="str">
        <f t="shared" si="51"/>
        <v/>
      </c>
      <c r="L132" s="72" t="str">
        <f>IF(A132="","",IF(A132&lt;='Dados de entrada'!$J$2,-V131,-V131*(1-'Dados de entrada'!$J$3)))</f>
        <v/>
      </c>
      <c r="M132" s="72" t="str">
        <f>IF(A132="","",L132*'Dados de entrada'!$E$4)</f>
        <v/>
      </c>
      <c r="N132" s="72" t="str">
        <f>IF(A132="","",IF(A132&lt;='Dados de entrada'!$E$2,'Dados de entrada'!$E$13*'Dados de entrada'!$E$10/'Dados de entrada'!$B$10,'Dados de entrada'!$E$13*'Dados de entrada'!$E$10/'Dados de entrada'!$B$10*(1-'Dados de entrada'!$E$3)))</f>
        <v/>
      </c>
      <c r="O132" s="71" t="str">
        <f>IF(A132="","",IF(AND(A132='Dados de entrada'!$E$2),(O131*(1+'Dados de entrada'!$B$6)-L132)*(1-'Dados de entrada'!$E$3),IF(AND(A132&lt;&gt;'Dados de entrada'!$A$2),O131*(1+'Dados de entrada'!$B$6)^(C132/30)-L132,"")))</f>
        <v/>
      </c>
      <c r="P132" s="71" t="str">
        <f>IF(A132="","",(O131*((1+'Dados de entrada'!$B$6)^(-DAYS360(B132,B131)/30)-1)-O131*((1+'Dados de entrada'!$H$10)^(-DAYS360(B132,B131)/360)-1))*4.65%)</f>
        <v/>
      </c>
      <c r="Q132" s="75" t="str">
        <f>IF(E132&lt;&gt;"",'Dados de entrada'!$H$5-E132*'Dados de entrada'!$H$6,"")</f>
        <v/>
      </c>
      <c r="R132" s="71" t="str">
        <f>IF(A132="","",IF(A132='Dados de entrada'!$E$2,PV('Dados de entrada'!$B$6,'Dados de entrada'!$B$10-'Dados de entrada'!$E$2+1,+L132*(-'Dados de entrada'!$E$3),,1)+L132*(1-'Dados de entrada'!$E$3)-M132-N132-P132-Q132,L132-M132-N132-P132-Q132))</f>
        <v/>
      </c>
      <c r="S132" s="74" t="str">
        <f t="shared" si="43"/>
        <v/>
      </c>
      <c r="T132" s="67" t="str">
        <f>IF(E132&lt;&gt;"",(-E132)/((1+'Dados de entrada'!$B$6)^(S132/30)),"")</f>
        <v/>
      </c>
      <c r="U132" s="67" t="str">
        <f t="shared" si="44"/>
        <v/>
      </c>
      <c r="V132" s="71" t="str">
        <f>IF(F132="","",-'Dados de entrada'!$B$2)</f>
        <v/>
      </c>
      <c r="X132" s="93">
        <f>+Resumo!$E$12-Resumo!$E$20</f>
        <v>0</v>
      </c>
      <c r="Y132" s="116">
        <f t="shared" si="31"/>
        <v>50137</v>
      </c>
      <c r="Z132" s="81">
        <v>30</v>
      </c>
      <c r="AA132" s="81">
        <f t="shared" ref="AA132:AA147" ca="1" si="53">AA131+Z132</f>
        <v>3868</v>
      </c>
      <c r="AB132" s="93">
        <f>IF(A132&lt;='Dados de entrada'!$B$18,'Dados de entrada'!$B$20,0)</f>
        <v>0</v>
      </c>
      <c r="AC132" s="93">
        <f>IF(OR(Resumo!$E$23&gt;0,Resumo!$E$28&gt;0,Resumo!$E$33&gt;0),IF(AND(A132&gt;'Dados de entrada'!$B$18,A132&lt;='Dados de entrada'!$B$10),'Dados de entrada'!$B$21,0),IF(AND(A132&gt;'Dados de entrada'!$B$18,A132&lt;='Dados de entrada'!$B$10),'Dados de entrada'!$B$21,IF(A132&lt;='Dados de entrada'!$B$18,X132,0)))</f>
        <v>0</v>
      </c>
      <c r="AD132" s="93">
        <f ca="1">AC132/((1+'Dados de entrada'!$D$22)^($AA132/360))</f>
        <v>0</v>
      </c>
      <c r="AE132" s="93">
        <f>IF(A132&lt;='Dados de entrada'!$B$27,'Dados de entrada'!$B$29,0)</f>
        <v>0</v>
      </c>
      <c r="AF132" s="93">
        <f>IF(AND(A132&gt;'Dados de entrada'!$B$27,A132&lt;='Dados de entrada'!$B$10),'Dados de entrada'!$B$30,0)</f>
        <v>0</v>
      </c>
      <c r="AG132" s="93">
        <f ca="1">AF132/((1+'Dados de entrada'!$D$31)^($AA132/360))</f>
        <v>0</v>
      </c>
      <c r="AH132" s="93">
        <f>IF(A132&lt;='Dados de entrada'!$B$36,'Dados de entrada'!$B$38,0)</f>
        <v>0</v>
      </c>
      <c r="AI132" s="93">
        <f>IF(AND(A132&gt;'Dados de entrada'!$B$36,A132&lt;='Dados de entrada'!$B$10),'Dados de entrada'!$B$39,0)</f>
        <v>0</v>
      </c>
      <c r="AJ132" s="93">
        <f ca="1">AI132/((1+'Dados de entrada'!$D$40)^($AA132/360))</f>
        <v>0</v>
      </c>
      <c r="AK132" s="93">
        <f>IF(A132&lt;='Dados de entrada'!$B$45,'Dados de entrada'!$B$47,0)</f>
        <v>0</v>
      </c>
      <c r="AL132" s="93">
        <f>IF(AND(A132&gt;'Dados de entrada'!$B$45,A132&lt;='Dados de entrada'!$B$10),'Dados de entrada'!$B$48,0)</f>
        <v>0</v>
      </c>
      <c r="AM132" s="93">
        <f ca="1">AL132/((1+'Dados de entrada'!$D$49)^($AA132/360))</f>
        <v>0</v>
      </c>
      <c r="AN132" s="85">
        <f t="shared" si="30"/>
        <v>0</v>
      </c>
    </row>
    <row r="133" spans="1:40">
      <c r="A133" s="69" t="str">
        <f>IF(A132="","",IF(A132+1&lt;='Dados de entrada'!$B$10,A132+1,""))</f>
        <v/>
      </c>
      <c r="B133" s="70" t="str">
        <f t="shared" si="45"/>
        <v/>
      </c>
      <c r="C133" s="69" t="str">
        <f t="shared" si="46"/>
        <v/>
      </c>
      <c r="D133" s="71" t="str">
        <f>IF(A133="","",F132*(1+'Dados de entrada'!$B$6)^(C133/30))</f>
        <v/>
      </c>
      <c r="E133" s="71" t="str">
        <f>IF(A133="","",-'Dados de entrada'!$J$20)</f>
        <v/>
      </c>
      <c r="F133" s="71" t="str">
        <f t="shared" si="47"/>
        <v/>
      </c>
      <c r="G133" s="71" t="str">
        <f t="shared" si="48"/>
        <v/>
      </c>
      <c r="H133" s="69" t="str">
        <f t="shared" si="49"/>
        <v/>
      </c>
      <c r="I133" s="71" t="str">
        <f>IF(A133="","",MIN(H133,365)*G133*'Dados de entrada'!$B$11+G133*'Dados de entrada'!$B$12)</f>
        <v/>
      </c>
      <c r="J133" s="71" t="str">
        <f t="shared" si="50"/>
        <v/>
      </c>
      <c r="K133" s="71" t="str">
        <f t="shared" si="51"/>
        <v/>
      </c>
      <c r="L133" s="72" t="str">
        <f>IF(A133="","",IF(A133&lt;='Dados de entrada'!$J$2,-V132,-V132*(1-'Dados de entrada'!$J$3)))</f>
        <v/>
      </c>
      <c r="M133" s="72" t="str">
        <f>IF(A133="","",L133*'Dados de entrada'!$E$4)</f>
        <v/>
      </c>
      <c r="N133" s="72" t="str">
        <f>IF(A133="","",IF(A133&lt;='Dados de entrada'!$E$2,'Dados de entrada'!$E$13*'Dados de entrada'!$E$10/'Dados de entrada'!$B$10,'Dados de entrada'!$E$13*'Dados de entrada'!$E$10/'Dados de entrada'!$B$10*(1-'Dados de entrada'!$E$3)))</f>
        <v/>
      </c>
      <c r="O133" s="71" t="str">
        <f>IF(A133="","",IF(AND(A133='Dados de entrada'!$E$2),(O132*(1+'Dados de entrada'!$B$6)-L133)*(1-'Dados de entrada'!$E$3),IF(AND(A133&lt;&gt;'Dados de entrada'!$A$2),O132*(1+'Dados de entrada'!$B$6)^(C133/30)-L133,"")))</f>
        <v/>
      </c>
      <c r="P133" s="71" t="str">
        <f>IF(A133="","",(O132*((1+'Dados de entrada'!$B$6)^(-DAYS360(B133,B132)/30)-1)-O132*((1+'Dados de entrada'!$H$10)^(-DAYS360(B133,B132)/360)-1))*4.65%)</f>
        <v/>
      </c>
      <c r="Q133" s="75" t="str">
        <f>IF(E133&lt;&gt;"",'Dados de entrada'!$H$5-E133*'Dados de entrada'!$H$6,"")</f>
        <v/>
      </c>
      <c r="R133" s="71" t="str">
        <f>IF(A133="","",IF(A133='Dados de entrada'!$E$2,PV('Dados de entrada'!$B$6,'Dados de entrada'!$B$10-'Dados de entrada'!$E$2+1,+L133*(-'Dados de entrada'!$E$3),,1)+L133*(1-'Dados de entrada'!$E$3)-M133-N133-P133-Q133,L133-M133-N133-P133-Q133))</f>
        <v/>
      </c>
      <c r="S133" s="74" t="str">
        <f t="shared" si="43"/>
        <v/>
      </c>
      <c r="T133" s="67" t="str">
        <f>IF(E133&lt;&gt;"",(-E133)/((1+'Dados de entrada'!$B$6)^(S133/30)),"")</f>
        <v/>
      </c>
      <c r="U133" s="67" t="str">
        <f t="shared" si="44"/>
        <v/>
      </c>
      <c r="V133" s="71" t="str">
        <f>IF(F133="","",-'Dados de entrada'!$B$2)</f>
        <v/>
      </c>
      <c r="X133" s="93">
        <f>+Resumo!$E$12-Resumo!$E$20</f>
        <v>0</v>
      </c>
      <c r="Y133" s="116">
        <f t="shared" si="31"/>
        <v>50167</v>
      </c>
      <c r="Z133" s="81">
        <v>30</v>
      </c>
      <c r="AA133" s="81">
        <f t="shared" ca="1" si="53"/>
        <v>3898</v>
      </c>
      <c r="AB133" s="93">
        <f>IF(A133&lt;='Dados de entrada'!$B$18,'Dados de entrada'!$B$20,0)</f>
        <v>0</v>
      </c>
      <c r="AC133" s="93">
        <f>IF(OR(Resumo!$E$23&gt;0,Resumo!$E$28&gt;0,Resumo!$E$33&gt;0),IF(AND(A133&gt;'Dados de entrada'!$B$18,A133&lt;='Dados de entrada'!$B$10),'Dados de entrada'!$B$21,0),IF(AND(A133&gt;'Dados de entrada'!$B$18,A133&lt;='Dados de entrada'!$B$10),'Dados de entrada'!$B$21,IF(A133&lt;='Dados de entrada'!$B$18,X133,0)))</f>
        <v>0</v>
      </c>
      <c r="AD133" s="93">
        <f ca="1">AC133/((1+'Dados de entrada'!$D$22)^($AA133/360))</f>
        <v>0</v>
      </c>
      <c r="AE133" s="93">
        <f>IF(A133&lt;='Dados de entrada'!$B$27,'Dados de entrada'!$B$29,0)</f>
        <v>0</v>
      </c>
      <c r="AF133" s="93">
        <f>IF(AND(A133&gt;'Dados de entrada'!$B$27,A133&lt;='Dados de entrada'!$B$10),'Dados de entrada'!$B$30,0)</f>
        <v>0</v>
      </c>
      <c r="AG133" s="93">
        <f ca="1">AF133/((1+'Dados de entrada'!$D$31)^($AA133/360))</f>
        <v>0</v>
      </c>
      <c r="AH133" s="93">
        <f>IF(A133&lt;='Dados de entrada'!$B$36,'Dados de entrada'!$B$38,0)</f>
        <v>0</v>
      </c>
      <c r="AI133" s="93">
        <f>IF(AND(A133&gt;'Dados de entrada'!$B$36,A133&lt;='Dados de entrada'!$B$10),'Dados de entrada'!$B$39,0)</f>
        <v>0</v>
      </c>
      <c r="AJ133" s="93">
        <f ca="1">AI133/((1+'Dados de entrada'!$D$40)^($AA133/360))</f>
        <v>0</v>
      </c>
      <c r="AK133" s="93">
        <f>IF(A133&lt;='Dados de entrada'!$B$45,'Dados de entrada'!$B$47,0)</f>
        <v>0</v>
      </c>
      <c r="AL133" s="93">
        <f>IF(AND(A133&gt;'Dados de entrada'!$B$45,A133&lt;='Dados de entrada'!$B$10),'Dados de entrada'!$B$48,0)</f>
        <v>0</v>
      </c>
      <c r="AM133" s="93">
        <f ca="1">AL133/((1+'Dados de entrada'!$D$49)^($AA133/360))</f>
        <v>0</v>
      </c>
      <c r="AN133" s="85">
        <f t="shared" ref="AN133:AN147" si="54">SUM(AB133:AC133,AE133:AF133,AH133:AI133,AK133:AL133)</f>
        <v>0</v>
      </c>
    </row>
    <row r="134" spans="1:40">
      <c r="A134" s="69" t="str">
        <f>IF(A133="","",IF(A133+1&lt;='Dados de entrada'!$B$10,A133+1,""))</f>
        <v/>
      </c>
      <c r="B134" s="70" t="str">
        <f t="shared" si="45"/>
        <v/>
      </c>
      <c r="C134" s="69" t="str">
        <f t="shared" si="46"/>
        <v/>
      </c>
      <c r="D134" s="71" t="str">
        <f>IF(A134="","",F133*(1+'Dados de entrada'!$B$6)^(C134/30))</f>
        <v/>
      </c>
      <c r="E134" s="71" t="str">
        <f>IF(A134="","",-'Dados de entrada'!$J$20)</f>
        <v/>
      </c>
      <c r="F134" s="71" t="str">
        <f t="shared" si="47"/>
        <v/>
      </c>
      <c r="G134" s="71" t="str">
        <f t="shared" si="48"/>
        <v/>
      </c>
      <c r="H134" s="69" t="str">
        <f t="shared" si="49"/>
        <v/>
      </c>
      <c r="I134" s="71" t="str">
        <f>IF(A134="","",MIN(H134,365)*G134*'Dados de entrada'!$B$11+G134*'Dados de entrada'!$B$12)</f>
        <v/>
      </c>
      <c r="J134" s="71" t="str">
        <f t="shared" si="50"/>
        <v/>
      </c>
      <c r="K134" s="71" t="str">
        <f t="shared" si="51"/>
        <v/>
      </c>
      <c r="L134" s="72" t="str">
        <f>IF(A134="","",IF(A134&lt;='Dados de entrada'!$J$2,-V133,-V133*(1-'Dados de entrada'!$J$3)))</f>
        <v/>
      </c>
      <c r="M134" s="72" t="str">
        <f>IF(A134="","",L134*'Dados de entrada'!$E$4)</f>
        <v/>
      </c>
      <c r="N134" s="72" t="str">
        <f>IF(A134="","",IF(A134&lt;='Dados de entrada'!$E$2,'Dados de entrada'!$E$13*'Dados de entrada'!$E$10/'Dados de entrada'!$B$10,'Dados de entrada'!$E$13*'Dados de entrada'!$E$10/'Dados de entrada'!$B$10*(1-'Dados de entrada'!$E$3)))</f>
        <v/>
      </c>
      <c r="O134" s="71" t="str">
        <f>IF(A134="","",IF(AND(A134='Dados de entrada'!$E$2),(O133*(1+'Dados de entrada'!$B$6)-L134)*(1-'Dados de entrada'!$E$3),IF(AND(A134&lt;&gt;'Dados de entrada'!$A$2),O133*(1+'Dados de entrada'!$B$6)^(C134/30)-L134,"")))</f>
        <v/>
      </c>
      <c r="P134" s="71" t="str">
        <f>IF(A134="","",(O133*((1+'Dados de entrada'!$B$6)^(-DAYS360(B134,B133)/30)-1)-O133*((1+'Dados de entrada'!$H$10)^(-DAYS360(B134,B133)/360)-1))*4.65%)</f>
        <v/>
      </c>
      <c r="Q134" s="75" t="str">
        <f>IF(E134&lt;&gt;"",'Dados de entrada'!$H$5-E134*'Dados de entrada'!$H$6,"")</f>
        <v/>
      </c>
      <c r="R134" s="71" t="str">
        <f>IF(A134="","",IF(A134='Dados de entrada'!$E$2,PV('Dados de entrada'!$B$6,'Dados de entrada'!$B$10-'Dados de entrada'!$E$2+1,+L134*(-'Dados de entrada'!$E$3),,1)+L134*(1-'Dados de entrada'!$E$3)-M134-N134-P134-Q134,L134-M134-N134-P134-Q134))</f>
        <v/>
      </c>
      <c r="S134" s="74" t="str">
        <f t="shared" si="43"/>
        <v/>
      </c>
      <c r="T134" s="67" t="str">
        <f>IF(E134&lt;&gt;"",(-E134)/((1+'Dados de entrada'!$B$6)^(S134/30)),"")</f>
        <v/>
      </c>
      <c r="U134" s="67" t="str">
        <f t="shared" si="44"/>
        <v/>
      </c>
      <c r="V134" s="71" t="str">
        <f>IF(F134="","",-'Dados de entrada'!$B$2)</f>
        <v/>
      </c>
      <c r="X134" s="93">
        <f>+Resumo!$E$12-Resumo!$E$20</f>
        <v>0</v>
      </c>
      <c r="Y134" s="116">
        <f t="shared" ref="Y134:Y147" si="55">EDATE(Y133,1)</f>
        <v>50198</v>
      </c>
      <c r="Z134" s="81">
        <v>30</v>
      </c>
      <c r="AA134" s="81">
        <f t="shared" ca="1" si="53"/>
        <v>3928</v>
      </c>
      <c r="AB134" s="93">
        <f>IF(A134&lt;='Dados de entrada'!$B$18,'Dados de entrada'!$B$20,0)</f>
        <v>0</v>
      </c>
      <c r="AC134" s="93">
        <f>IF(OR(Resumo!$E$23&gt;0,Resumo!$E$28&gt;0,Resumo!$E$33&gt;0),IF(AND(A134&gt;'Dados de entrada'!$B$18,A134&lt;='Dados de entrada'!$B$10),'Dados de entrada'!$B$21,0),IF(AND(A134&gt;'Dados de entrada'!$B$18,A134&lt;='Dados de entrada'!$B$10),'Dados de entrada'!$B$21,IF(A134&lt;='Dados de entrada'!$B$18,X134,0)))</f>
        <v>0</v>
      </c>
      <c r="AD134" s="93">
        <f ca="1">AC134/((1+'Dados de entrada'!$D$22)^($AA134/360))</f>
        <v>0</v>
      </c>
      <c r="AE134" s="93">
        <f>IF(A134&lt;='Dados de entrada'!$B$27,'Dados de entrada'!$B$29,0)</f>
        <v>0</v>
      </c>
      <c r="AF134" s="93">
        <f>IF(AND(A134&gt;'Dados de entrada'!$B$27,A134&lt;='Dados de entrada'!$B$10),'Dados de entrada'!$B$30,0)</f>
        <v>0</v>
      </c>
      <c r="AG134" s="93">
        <f ca="1">AF134/((1+'Dados de entrada'!$D$31)^($AA134/360))</f>
        <v>0</v>
      </c>
      <c r="AH134" s="93">
        <f>IF(A134&lt;='Dados de entrada'!$B$36,'Dados de entrada'!$B$38,0)</f>
        <v>0</v>
      </c>
      <c r="AI134" s="93">
        <f>IF(AND(A134&gt;'Dados de entrada'!$B$36,A134&lt;='Dados de entrada'!$B$10),'Dados de entrada'!$B$39,0)</f>
        <v>0</v>
      </c>
      <c r="AJ134" s="93">
        <f ca="1">AI134/((1+'Dados de entrada'!$D$40)^($AA134/360))</f>
        <v>0</v>
      </c>
      <c r="AK134" s="93">
        <f>IF(A134&lt;='Dados de entrada'!$B$45,'Dados de entrada'!$B$47,0)</f>
        <v>0</v>
      </c>
      <c r="AL134" s="93">
        <f>IF(AND(A134&gt;'Dados de entrada'!$B$45,A134&lt;='Dados de entrada'!$B$10),'Dados de entrada'!$B$48,0)</f>
        <v>0</v>
      </c>
      <c r="AM134" s="93">
        <f ca="1">AL134/((1+'Dados de entrada'!$D$49)^($AA134/360))</f>
        <v>0</v>
      </c>
      <c r="AN134" s="85">
        <f t="shared" si="54"/>
        <v>0</v>
      </c>
    </row>
    <row r="135" spans="1:40">
      <c r="A135" s="69" t="str">
        <f>IF(A134="","",IF(A134+1&lt;='Dados de entrada'!$B$10,A134+1,""))</f>
        <v/>
      </c>
      <c r="B135" s="70" t="str">
        <f t="shared" si="45"/>
        <v/>
      </c>
      <c r="C135" s="69" t="str">
        <f t="shared" si="46"/>
        <v/>
      </c>
      <c r="D135" s="71" t="str">
        <f>IF(A135="","",F134*(1+'Dados de entrada'!$B$6)^(C135/30))</f>
        <v/>
      </c>
      <c r="E135" s="71" t="str">
        <f>IF(A135="","",-'Dados de entrada'!$J$20)</f>
        <v/>
      </c>
      <c r="F135" s="71" t="str">
        <f t="shared" si="47"/>
        <v/>
      </c>
      <c r="G135" s="71" t="str">
        <f t="shared" si="48"/>
        <v/>
      </c>
      <c r="H135" s="69" t="str">
        <f t="shared" si="49"/>
        <v/>
      </c>
      <c r="I135" s="71" t="str">
        <f>IF(A135="","",MIN(H135,365)*G135*'Dados de entrada'!$B$11+G135*'Dados de entrada'!$B$12)</f>
        <v/>
      </c>
      <c r="J135" s="71" t="str">
        <f t="shared" si="50"/>
        <v/>
      </c>
      <c r="K135" s="71" t="str">
        <f t="shared" si="51"/>
        <v/>
      </c>
      <c r="L135" s="72" t="str">
        <f>IF(A135="","",IF(A135&lt;='Dados de entrada'!$J$2,-V134,-V134*(1-'Dados de entrada'!$J$3)))</f>
        <v/>
      </c>
      <c r="M135" s="72" t="str">
        <f>IF(A135="","",L135*'Dados de entrada'!$E$4)</f>
        <v/>
      </c>
      <c r="N135" s="72" t="str">
        <f>IF(A135="","",IF(A135&lt;='Dados de entrada'!$E$2,'Dados de entrada'!$E$13*'Dados de entrada'!$E$10/'Dados de entrada'!$B$10,'Dados de entrada'!$E$13*'Dados de entrada'!$E$10/'Dados de entrada'!$B$10*(1-'Dados de entrada'!$E$3)))</f>
        <v/>
      </c>
      <c r="O135" s="71" t="str">
        <f>IF(A135="","",IF(AND(A135='Dados de entrada'!$E$2),(O134*(1+'Dados de entrada'!$B$6)-L135)*(1-'Dados de entrada'!$E$3),IF(AND(A135&lt;&gt;'Dados de entrada'!$A$2),O134*(1+'Dados de entrada'!$B$6)^(C135/30)-L135,"")))</f>
        <v/>
      </c>
      <c r="P135" s="71" t="str">
        <f>IF(A135="","",(O134*((1+'Dados de entrada'!$B$6)^(-DAYS360(B135,B134)/30)-1)-O134*((1+'Dados de entrada'!$H$10)^(-DAYS360(B135,B134)/360)-1))*4.65%)</f>
        <v/>
      </c>
      <c r="Q135" s="75" t="str">
        <f>IF(E135&lt;&gt;"",'Dados de entrada'!$H$5-E135*'Dados de entrada'!$H$6,"")</f>
        <v/>
      </c>
      <c r="R135" s="71" t="str">
        <f>IF(A135="","",IF(A135='Dados de entrada'!$E$2,PV('Dados de entrada'!$B$6,'Dados de entrada'!$B$10-'Dados de entrada'!$E$2+1,+L135*(-'Dados de entrada'!$E$3),,1)+L135*(1-'Dados de entrada'!$E$3)-M135-N135-P135-Q135,L135-M135-N135-P135-Q135))</f>
        <v/>
      </c>
      <c r="S135" s="74" t="str">
        <f t="shared" si="43"/>
        <v/>
      </c>
      <c r="T135" s="67" t="str">
        <f>IF(E135&lt;&gt;"",(-E135)/((1+'Dados de entrada'!$B$6)^(S135/30)),"")</f>
        <v/>
      </c>
      <c r="U135" s="67" t="str">
        <f t="shared" si="44"/>
        <v/>
      </c>
      <c r="V135" s="71" t="str">
        <f>IF(F135="","",-'Dados de entrada'!$B$2)</f>
        <v/>
      </c>
      <c r="X135" s="93">
        <f>+Resumo!$E$12-Resumo!$E$20</f>
        <v>0</v>
      </c>
      <c r="Y135" s="116">
        <f t="shared" si="55"/>
        <v>50228</v>
      </c>
      <c r="Z135" s="81">
        <v>30</v>
      </c>
      <c r="AA135" s="81">
        <f t="shared" ca="1" si="53"/>
        <v>3958</v>
      </c>
      <c r="AB135" s="93">
        <f>IF(A135&lt;='Dados de entrada'!$B$18,'Dados de entrada'!$B$20,0)</f>
        <v>0</v>
      </c>
      <c r="AC135" s="93">
        <f>IF(OR(Resumo!$E$23&gt;0,Resumo!$E$28&gt;0,Resumo!$E$33&gt;0),IF(AND(A135&gt;'Dados de entrada'!$B$18,A135&lt;='Dados de entrada'!$B$10),'Dados de entrada'!$B$21,0),IF(AND(A135&gt;'Dados de entrada'!$B$18,A135&lt;='Dados de entrada'!$B$10),'Dados de entrada'!$B$21,IF(A135&lt;='Dados de entrada'!$B$18,X135,0)))</f>
        <v>0</v>
      </c>
      <c r="AD135" s="93">
        <f ca="1">AC135/((1+'Dados de entrada'!$D$22)^($AA135/360))</f>
        <v>0</v>
      </c>
      <c r="AE135" s="93">
        <f>IF(A135&lt;='Dados de entrada'!$B$27,'Dados de entrada'!$B$29,0)</f>
        <v>0</v>
      </c>
      <c r="AF135" s="93">
        <f>IF(AND(A135&gt;'Dados de entrada'!$B$27,A135&lt;='Dados de entrada'!$B$10),'Dados de entrada'!$B$30,0)</f>
        <v>0</v>
      </c>
      <c r="AG135" s="93">
        <f ca="1">AF135/((1+'Dados de entrada'!$D$31)^($AA135/360))</f>
        <v>0</v>
      </c>
      <c r="AH135" s="93">
        <f>IF(A135&lt;='Dados de entrada'!$B$36,'Dados de entrada'!$B$38,0)</f>
        <v>0</v>
      </c>
      <c r="AI135" s="93">
        <f>IF(AND(A135&gt;'Dados de entrada'!$B$36,A135&lt;='Dados de entrada'!$B$10),'Dados de entrada'!$B$39,0)</f>
        <v>0</v>
      </c>
      <c r="AJ135" s="93">
        <f ca="1">AI135/((1+'Dados de entrada'!$D$40)^($AA135/360))</f>
        <v>0</v>
      </c>
      <c r="AK135" s="93">
        <f>IF(A135&lt;='Dados de entrada'!$B$45,'Dados de entrada'!$B$47,0)</f>
        <v>0</v>
      </c>
      <c r="AL135" s="93">
        <f>IF(AND(A135&gt;'Dados de entrada'!$B$45,A135&lt;='Dados de entrada'!$B$10),'Dados de entrada'!$B$48,0)</f>
        <v>0</v>
      </c>
      <c r="AM135" s="93">
        <f ca="1">AL135/((1+'Dados de entrada'!$D$49)^($AA135/360))</f>
        <v>0</v>
      </c>
      <c r="AN135" s="85">
        <f t="shared" si="54"/>
        <v>0</v>
      </c>
    </row>
    <row r="136" spans="1:40">
      <c r="A136" s="69" t="str">
        <f>IF(A135="","",IF(A135+1&lt;='Dados de entrada'!$B$10,A135+1,""))</f>
        <v/>
      </c>
      <c r="B136" s="70" t="str">
        <f t="shared" si="45"/>
        <v/>
      </c>
      <c r="C136" s="69" t="str">
        <f t="shared" si="46"/>
        <v/>
      </c>
      <c r="D136" s="71" t="str">
        <f>IF(A136="","",F135*(1+'Dados de entrada'!$B$6)^(C136/30))</f>
        <v/>
      </c>
      <c r="E136" s="71" t="str">
        <f>IF(A136="","",-'Dados de entrada'!$J$20)</f>
        <v/>
      </c>
      <c r="F136" s="71" t="str">
        <f t="shared" si="47"/>
        <v/>
      </c>
      <c r="G136" s="71" t="str">
        <f t="shared" si="48"/>
        <v/>
      </c>
      <c r="H136" s="69" t="str">
        <f t="shared" si="49"/>
        <v/>
      </c>
      <c r="I136" s="71" t="str">
        <f>IF(A136="","",MIN(H136,365)*G136*'Dados de entrada'!$B$11+G136*'Dados de entrada'!$B$12)</f>
        <v/>
      </c>
      <c r="J136" s="71" t="str">
        <f t="shared" si="50"/>
        <v/>
      </c>
      <c r="K136" s="71" t="str">
        <f t="shared" si="51"/>
        <v/>
      </c>
      <c r="L136" s="72" t="str">
        <f>IF(A136="","",IF(A136&lt;='Dados de entrada'!$J$2,-V135,-V135*(1-'Dados de entrada'!$J$3)))</f>
        <v/>
      </c>
      <c r="M136" s="72" t="str">
        <f>IF(A136="","",L136*'Dados de entrada'!$E$4)</f>
        <v/>
      </c>
      <c r="N136" s="72" t="str">
        <f>IF(A136="","",IF(A136&lt;='Dados de entrada'!$E$2,'Dados de entrada'!$E$13*'Dados de entrada'!$E$10/'Dados de entrada'!$B$10,'Dados de entrada'!$E$13*'Dados de entrada'!$E$10/'Dados de entrada'!$B$10*(1-'Dados de entrada'!$E$3)))</f>
        <v/>
      </c>
      <c r="O136" s="71" t="str">
        <f>IF(A136="","",IF(AND(A136='Dados de entrada'!$E$2),(O135*(1+'Dados de entrada'!$B$6)-L136)*(1-'Dados de entrada'!$E$3),IF(AND(A136&lt;&gt;'Dados de entrada'!$A$2),O135*(1+'Dados de entrada'!$B$6)^(C136/30)-L136,"")))</f>
        <v/>
      </c>
      <c r="P136" s="71" t="str">
        <f>IF(A136="","",(O135*((1+'Dados de entrada'!$B$6)^(-DAYS360(B136,B135)/30)-1)-O135*((1+'Dados de entrada'!$H$10)^(-DAYS360(B136,B135)/360)-1))*4.65%)</f>
        <v/>
      </c>
      <c r="Q136" s="75" t="str">
        <f>IF(E136&lt;&gt;"",'Dados de entrada'!$H$5-E136*'Dados de entrada'!$H$6,"")</f>
        <v/>
      </c>
      <c r="R136" s="71" t="str">
        <f>IF(A136="","",IF(A136='Dados de entrada'!$E$2,PV('Dados de entrada'!$B$6,'Dados de entrada'!$B$10-'Dados de entrada'!$E$2+1,+L136*(-'Dados de entrada'!$E$3),,1)+L136*(1-'Dados de entrada'!$E$3)-M136-N136-P136-Q136,L136-M136-N136-P136-Q136))</f>
        <v/>
      </c>
      <c r="S136" s="74" t="str">
        <f t="shared" si="43"/>
        <v/>
      </c>
      <c r="T136" s="67" t="str">
        <f>IF(E136&lt;&gt;"",(-E136)/((1+'Dados de entrada'!$B$6)^(S136/30)),"")</f>
        <v/>
      </c>
      <c r="U136" s="67" t="str">
        <f t="shared" si="44"/>
        <v/>
      </c>
      <c r="V136" s="71" t="str">
        <f>IF(F136="","",-'Dados de entrada'!$B$2)</f>
        <v/>
      </c>
      <c r="X136" s="93">
        <f>+Resumo!$E$12-Resumo!$E$20</f>
        <v>0</v>
      </c>
      <c r="Y136" s="116">
        <f t="shared" si="55"/>
        <v>50259</v>
      </c>
      <c r="Z136" s="81">
        <v>30</v>
      </c>
      <c r="AA136" s="81">
        <f t="shared" ca="1" si="53"/>
        <v>3988</v>
      </c>
      <c r="AB136" s="93">
        <f>IF(A136&lt;='Dados de entrada'!$B$18,'Dados de entrada'!$B$20,0)</f>
        <v>0</v>
      </c>
      <c r="AC136" s="93">
        <f>IF(OR(Resumo!$E$23&gt;0,Resumo!$E$28&gt;0,Resumo!$E$33&gt;0),IF(AND(A136&gt;'Dados de entrada'!$B$18,A136&lt;='Dados de entrada'!$B$10),'Dados de entrada'!$B$21,0),IF(AND(A136&gt;'Dados de entrada'!$B$18,A136&lt;='Dados de entrada'!$B$10),'Dados de entrada'!$B$21,IF(A136&lt;='Dados de entrada'!$B$18,X136,0)))</f>
        <v>0</v>
      </c>
      <c r="AD136" s="93">
        <f ca="1">AC136/((1+'Dados de entrada'!$D$22)^($AA136/360))</f>
        <v>0</v>
      </c>
      <c r="AE136" s="93">
        <f>IF(A136&lt;='Dados de entrada'!$B$27,'Dados de entrada'!$B$29,0)</f>
        <v>0</v>
      </c>
      <c r="AF136" s="93">
        <f>IF(AND(A136&gt;'Dados de entrada'!$B$27,A136&lt;='Dados de entrada'!$B$10),'Dados de entrada'!$B$30,0)</f>
        <v>0</v>
      </c>
      <c r="AG136" s="93">
        <f ca="1">AF136/((1+'Dados de entrada'!$D$31)^($AA136/360))</f>
        <v>0</v>
      </c>
      <c r="AH136" s="93">
        <f>IF(A136&lt;='Dados de entrada'!$B$36,'Dados de entrada'!$B$38,0)</f>
        <v>0</v>
      </c>
      <c r="AI136" s="93">
        <f>IF(AND(A136&gt;'Dados de entrada'!$B$36,A136&lt;='Dados de entrada'!$B$10),'Dados de entrada'!$B$39,0)</f>
        <v>0</v>
      </c>
      <c r="AJ136" s="93">
        <f ca="1">AI136/((1+'Dados de entrada'!$D$40)^($AA136/360))</f>
        <v>0</v>
      </c>
      <c r="AK136" s="93">
        <f>IF(A136&lt;='Dados de entrada'!$B$45,'Dados de entrada'!$B$47,0)</f>
        <v>0</v>
      </c>
      <c r="AL136" s="93">
        <f>IF(AND(A136&gt;'Dados de entrada'!$B$45,A136&lt;='Dados de entrada'!$B$10),'Dados de entrada'!$B$48,0)</f>
        <v>0</v>
      </c>
      <c r="AM136" s="93">
        <f ca="1">AL136/((1+'Dados de entrada'!$D$49)^($AA136/360))</f>
        <v>0</v>
      </c>
      <c r="AN136" s="85">
        <f t="shared" si="54"/>
        <v>0</v>
      </c>
    </row>
    <row r="137" spans="1:40">
      <c r="A137" s="69" t="str">
        <f>IF(A136="","",IF(A136+1&lt;='Dados de entrada'!$B$10,A136+1,""))</f>
        <v/>
      </c>
      <c r="B137" s="70" t="str">
        <f t="shared" si="45"/>
        <v/>
      </c>
      <c r="C137" s="69" t="str">
        <f t="shared" si="46"/>
        <v/>
      </c>
      <c r="D137" s="71" t="str">
        <f>IF(A137="","",F136*(1+'Dados de entrada'!$B$6)^(C137/30))</f>
        <v/>
      </c>
      <c r="E137" s="71" t="str">
        <f>IF(A137="","",-'Dados de entrada'!$J$20)</f>
        <v/>
      </c>
      <c r="F137" s="71" t="str">
        <f t="shared" si="47"/>
        <v/>
      </c>
      <c r="G137" s="71" t="str">
        <f t="shared" si="48"/>
        <v/>
      </c>
      <c r="H137" s="69" t="str">
        <f t="shared" si="49"/>
        <v/>
      </c>
      <c r="I137" s="71" t="str">
        <f>IF(A137="","",MIN(H137,365)*G137*'Dados de entrada'!$B$11+G137*'Dados de entrada'!$B$12)</f>
        <v/>
      </c>
      <c r="J137" s="71" t="str">
        <f t="shared" si="50"/>
        <v/>
      </c>
      <c r="K137" s="71" t="str">
        <f t="shared" si="51"/>
        <v/>
      </c>
      <c r="L137" s="72" t="str">
        <f>IF(A137="","",IF(A137&lt;='Dados de entrada'!$J$2,-V136,-V136*(1-'Dados de entrada'!$J$3)))</f>
        <v/>
      </c>
      <c r="M137" s="72" t="str">
        <f>IF(A137="","",L137*'Dados de entrada'!$E$4)</f>
        <v/>
      </c>
      <c r="N137" s="72" t="str">
        <f>IF(A137="","",IF(A137&lt;='Dados de entrada'!$E$2,'Dados de entrada'!$E$13*'Dados de entrada'!$E$10/'Dados de entrada'!$B$10,'Dados de entrada'!$E$13*'Dados de entrada'!$E$10/'Dados de entrada'!$B$10*(1-'Dados de entrada'!$E$3)))</f>
        <v/>
      </c>
      <c r="O137" s="71" t="str">
        <f>IF(A137="","",IF(AND(A137='Dados de entrada'!$E$2),(O136*(1+'Dados de entrada'!$B$6)-L137)*(1-'Dados de entrada'!$E$3),IF(AND(A137&lt;&gt;'Dados de entrada'!$A$2),O136*(1+'Dados de entrada'!$B$6)^(C137/30)-L137,"")))</f>
        <v/>
      </c>
      <c r="P137" s="71" t="str">
        <f>IF(A137="","",(O136*((1+'Dados de entrada'!$B$6)^(-DAYS360(B137,B136)/30)-1)-O136*((1+'Dados de entrada'!$H$10)^(-DAYS360(B137,B136)/360)-1))*4.65%)</f>
        <v/>
      </c>
      <c r="Q137" s="75" t="str">
        <f>IF(E137&lt;&gt;"",'Dados de entrada'!$H$5-E137*'Dados de entrada'!$H$6,"")</f>
        <v/>
      </c>
      <c r="R137" s="71" t="str">
        <f>IF(A137="","",IF(A137='Dados de entrada'!$E$2,PV('Dados de entrada'!$B$6,'Dados de entrada'!$B$10-'Dados de entrada'!$E$2+1,+L137*(-'Dados de entrada'!$E$3),,1)+L137*(1-'Dados de entrada'!$E$3)-M137-N137-P137-Q137,L137-M137-N137-P137-Q137))</f>
        <v/>
      </c>
      <c r="S137" s="74" t="str">
        <f t="shared" si="43"/>
        <v/>
      </c>
      <c r="T137" s="67" t="str">
        <f>IF(E137&lt;&gt;"",(-E137)/((1+'Dados de entrada'!$B$6)^(S137/30)),"")</f>
        <v/>
      </c>
      <c r="U137" s="67" t="str">
        <f t="shared" si="44"/>
        <v/>
      </c>
      <c r="V137" s="71" t="str">
        <f>IF(F137="","",-'Dados de entrada'!$B$2)</f>
        <v/>
      </c>
      <c r="X137" s="93">
        <f>+Resumo!$E$12-Resumo!$E$20</f>
        <v>0</v>
      </c>
      <c r="Y137" s="116">
        <f t="shared" si="55"/>
        <v>50290</v>
      </c>
      <c r="Z137" s="81">
        <v>30</v>
      </c>
      <c r="AA137" s="81">
        <f t="shared" ca="1" si="53"/>
        <v>4018</v>
      </c>
      <c r="AB137" s="93">
        <f>IF(A137&lt;='Dados de entrada'!$B$18,'Dados de entrada'!$B$20,0)</f>
        <v>0</v>
      </c>
      <c r="AC137" s="93">
        <f>IF(OR(Resumo!$E$23&gt;0,Resumo!$E$28&gt;0,Resumo!$E$33&gt;0),IF(AND(A137&gt;'Dados de entrada'!$B$18,A137&lt;='Dados de entrada'!$B$10),'Dados de entrada'!$B$21,0),IF(AND(A137&gt;'Dados de entrada'!$B$18,A137&lt;='Dados de entrada'!$B$10),'Dados de entrada'!$B$21,IF(A137&lt;='Dados de entrada'!$B$18,X137,0)))</f>
        <v>0</v>
      </c>
      <c r="AD137" s="93">
        <f ca="1">AC137/((1+'Dados de entrada'!$D$22)^($AA137/360))</f>
        <v>0</v>
      </c>
      <c r="AE137" s="93">
        <f>IF(A137&lt;='Dados de entrada'!$B$27,'Dados de entrada'!$B$29,0)</f>
        <v>0</v>
      </c>
      <c r="AF137" s="93">
        <f>IF(AND(A137&gt;'Dados de entrada'!$B$27,A137&lt;='Dados de entrada'!$B$10),'Dados de entrada'!$B$30,0)</f>
        <v>0</v>
      </c>
      <c r="AG137" s="93">
        <f ca="1">AF137/((1+'Dados de entrada'!$D$31)^($AA137/360))</f>
        <v>0</v>
      </c>
      <c r="AH137" s="93">
        <f>IF(A137&lt;='Dados de entrada'!$B$36,'Dados de entrada'!$B$38,0)</f>
        <v>0</v>
      </c>
      <c r="AI137" s="93">
        <f>IF(AND(A137&gt;'Dados de entrada'!$B$36,A137&lt;='Dados de entrada'!$B$10),'Dados de entrada'!$B$39,0)</f>
        <v>0</v>
      </c>
      <c r="AJ137" s="93">
        <f ca="1">AI137/((1+'Dados de entrada'!$D$40)^($AA137/360))</f>
        <v>0</v>
      </c>
      <c r="AK137" s="93">
        <f>IF(A137&lt;='Dados de entrada'!$B$45,'Dados de entrada'!$B$47,0)</f>
        <v>0</v>
      </c>
      <c r="AL137" s="93">
        <f>IF(AND(A137&gt;'Dados de entrada'!$B$45,A137&lt;='Dados de entrada'!$B$10),'Dados de entrada'!$B$48,0)</f>
        <v>0</v>
      </c>
      <c r="AM137" s="93">
        <f ca="1">AL137/((1+'Dados de entrada'!$D$49)^($AA137/360))</f>
        <v>0</v>
      </c>
      <c r="AN137" s="85">
        <f t="shared" si="54"/>
        <v>0</v>
      </c>
    </row>
    <row r="138" spans="1:40">
      <c r="A138" s="69" t="str">
        <f>IF(A137="","",IF(A137+1&lt;='Dados de entrada'!$B$10,A137+1,""))</f>
        <v/>
      </c>
      <c r="B138" s="70" t="str">
        <f t="shared" si="45"/>
        <v/>
      </c>
      <c r="C138" s="69" t="str">
        <f t="shared" si="46"/>
        <v/>
      </c>
      <c r="D138" s="71" t="str">
        <f>IF(A138="","",F137*(1+'Dados de entrada'!$B$6)^(C138/30))</f>
        <v/>
      </c>
      <c r="E138" s="71" t="str">
        <f>IF(A138="","",-'Dados de entrada'!$J$20)</f>
        <v/>
      </c>
      <c r="F138" s="71" t="str">
        <f t="shared" si="47"/>
        <v/>
      </c>
      <c r="G138" s="71" t="str">
        <f t="shared" si="48"/>
        <v/>
      </c>
      <c r="H138" s="69" t="str">
        <f t="shared" si="49"/>
        <v/>
      </c>
      <c r="I138" s="71" t="str">
        <f>IF(A138="","",MIN(H138,365)*G138*'Dados de entrada'!$B$11+G138*'Dados de entrada'!$B$12)</f>
        <v/>
      </c>
      <c r="J138" s="71" t="str">
        <f t="shared" si="50"/>
        <v/>
      </c>
      <c r="K138" s="71" t="str">
        <f t="shared" si="51"/>
        <v/>
      </c>
      <c r="L138" s="72" t="str">
        <f>IF(A138="","",IF(A138&lt;='Dados de entrada'!$J$2,-V137,-V137*(1-'Dados de entrada'!$J$3)))</f>
        <v/>
      </c>
      <c r="M138" s="72" t="str">
        <f>IF(A138="","",L138*'Dados de entrada'!$E$4)</f>
        <v/>
      </c>
      <c r="N138" s="72" t="str">
        <f>IF(A138="","",IF(A138&lt;='Dados de entrada'!$E$2,'Dados de entrada'!$E$13*'Dados de entrada'!$E$10/'Dados de entrada'!$B$10,'Dados de entrada'!$E$13*'Dados de entrada'!$E$10/'Dados de entrada'!$B$10*(1-'Dados de entrada'!$E$3)))</f>
        <v/>
      </c>
      <c r="O138" s="71" t="str">
        <f>IF(A138="","",IF(AND(A138='Dados de entrada'!$E$2),(O137*(1+'Dados de entrada'!$B$6)-L138)*(1-'Dados de entrada'!$E$3),IF(AND(A138&lt;&gt;'Dados de entrada'!$A$2),O137*(1+'Dados de entrada'!$B$6)^(C138/30)-L138,"")))</f>
        <v/>
      </c>
      <c r="P138" s="71" t="str">
        <f>IF(A138="","",(O137*((1+'Dados de entrada'!$B$6)^(-DAYS360(B138,B137)/30)-1)-O137*((1+'Dados de entrada'!$H$10)^(-DAYS360(B138,B137)/360)-1))*4.65%)</f>
        <v/>
      </c>
      <c r="Q138" s="75" t="str">
        <f>IF(E138&lt;&gt;"",'Dados de entrada'!$H$5-E138*'Dados de entrada'!$H$6,"")</f>
        <v/>
      </c>
      <c r="R138" s="71" t="str">
        <f>IF(A138="","",IF(A138='Dados de entrada'!$E$2,PV('Dados de entrada'!$B$6,'Dados de entrada'!$B$10-'Dados de entrada'!$E$2+1,+L138*(-'Dados de entrada'!$E$3),,1)+L138*(1-'Dados de entrada'!$E$3)-M138-N138-P138-Q138,L138-M138-N138-P138-Q138))</f>
        <v/>
      </c>
      <c r="S138" s="74" t="str">
        <f t="shared" si="43"/>
        <v/>
      </c>
      <c r="T138" s="67" t="str">
        <f>IF(E138&lt;&gt;"",(-E138)/((1+'Dados de entrada'!$B$6)^(S138/30)),"")</f>
        <v/>
      </c>
      <c r="U138" s="67" t="str">
        <f t="shared" si="44"/>
        <v/>
      </c>
      <c r="V138" s="71" t="str">
        <f>IF(F138="","",-'Dados de entrada'!$B$2)</f>
        <v/>
      </c>
      <c r="X138" s="93">
        <f>+Resumo!$E$12-Resumo!$E$20</f>
        <v>0</v>
      </c>
      <c r="Y138" s="116">
        <f t="shared" si="55"/>
        <v>50320</v>
      </c>
      <c r="Z138" s="81">
        <v>30</v>
      </c>
      <c r="AA138" s="81">
        <f t="shared" ca="1" si="53"/>
        <v>4048</v>
      </c>
      <c r="AB138" s="93">
        <f>IF(A138&lt;='Dados de entrada'!$B$18,'Dados de entrada'!$B$20,0)</f>
        <v>0</v>
      </c>
      <c r="AC138" s="93">
        <f>IF(OR(Resumo!$E$23&gt;0,Resumo!$E$28&gt;0,Resumo!$E$33&gt;0),IF(AND(A138&gt;'Dados de entrada'!$B$18,A138&lt;='Dados de entrada'!$B$10),'Dados de entrada'!$B$21,0),IF(AND(A138&gt;'Dados de entrada'!$B$18,A138&lt;='Dados de entrada'!$B$10),'Dados de entrada'!$B$21,IF(A138&lt;='Dados de entrada'!$B$18,X138,0)))</f>
        <v>0</v>
      </c>
      <c r="AD138" s="93">
        <f ca="1">AC138/((1+'Dados de entrada'!$D$22)^($AA138/360))</f>
        <v>0</v>
      </c>
      <c r="AE138" s="93">
        <f>IF(A138&lt;='Dados de entrada'!$B$27,'Dados de entrada'!$B$29,0)</f>
        <v>0</v>
      </c>
      <c r="AF138" s="93">
        <f>IF(AND(A138&gt;'Dados de entrada'!$B$27,A138&lt;='Dados de entrada'!$B$10),'Dados de entrada'!$B$30,0)</f>
        <v>0</v>
      </c>
      <c r="AG138" s="93">
        <f ca="1">AF138/((1+'Dados de entrada'!$D$31)^($AA138/360))</f>
        <v>0</v>
      </c>
      <c r="AH138" s="93">
        <f>IF(A138&lt;='Dados de entrada'!$B$36,'Dados de entrada'!$B$38,0)</f>
        <v>0</v>
      </c>
      <c r="AI138" s="93">
        <f>IF(AND(A138&gt;'Dados de entrada'!$B$36,A138&lt;='Dados de entrada'!$B$10),'Dados de entrada'!$B$39,0)</f>
        <v>0</v>
      </c>
      <c r="AJ138" s="93">
        <f ca="1">AI138/((1+'Dados de entrada'!$D$40)^($AA138/360))</f>
        <v>0</v>
      </c>
      <c r="AK138" s="93">
        <f>IF(A138&lt;='Dados de entrada'!$B$45,'Dados de entrada'!$B$47,0)</f>
        <v>0</v>
      </c>
      <c r="AL138" s="93">
        <f>IF(AND(A138&gt;'Dados de entrada'!$B$45,A138&lt;='Dados de entrada'!$B$10),'Dados de entrada'!$B$48,0)</f>
        <v>0</v>
      </c>
      <c r="AM138" s="93">
        <f ca="1">AL138/((1+'Dados de entrada'!$D$49)^($AA138/360))</f>
        <v>0</v>
      </c>
      <c r="AN138" s="85">
        <f t="shared" si="54"/>
        <v>0</v>
      </c>
    </row>
    <row r="139" spans="1:40">
      <c r="A139" s="69" t="str">
        <f>IF(A138="","",IF(A138+1&lt;='Dados de entrada'!$B$10,A138+1,""))</f>
        <v/>
      </c>
      <c r="B139" s="70" t="str">
        <f t="shared" si="45"/>
        <v/>
      </c>
      <c r="C139" s="69" t="str">
        <f t="shared" si="46"/>
        <v/>
      </c>
      <c r="D139" s="71" t="str">
        <f>IF(A139="","",F138*(1+'Dados de entrada'!$B$6)^(C139/30))</f>
        <v/>
      </c>
      <c r="E139" s="71" t="str">
        <f>IF(A139="","",-'Dados de entrada'!$J$20)</f>
        <v/>
      </c>
      <c r="F139" s="71" t="str">
        <f t="shared" si="47"/>
        <v/>
      </c>
      <c r="G139" s="71" t="str">
        <f t="shared" si="48"/>
        <v/>
      </c>
      <c r="H139" s="69" t="str">
        <f t="shared" si="49"/>
        <v/>
      </c>
      <c r="I139" s="71" t="str">
        <f>IF(A139="","",MIN(H139,365)*G139*'Dados de entrada'!$B$11+G139*'Dados de entrada'!$B$12)</f>
        <v/>
      </c>
      <c r="J139" s="71" t="str">
        <f t="shared" si="50"/>
        <v/>
      </c>
      <c r="K139" s="71" t="str">
        <f t="shared" si="51"/>
        <v/>
      </c>
      <c r="L139" s="72" t="str">
        <f>IF(A139="","",IF(A139&lt;='Dados de entrada'!$J$2,-V138,-V138*(1-'Dados de entrada'!$J$3)))</f>
        <v/>
      </c>
      <c r="M139" s="72" t="str">
        <f>IF(A139="","",L139*'Dados de entrada'!$E$4)</f>
        <v/>
      </c>
      <c r="N139" s="72" t="str">
        <f>IF(A139="","",IF(A139&lt;='Dados de entrada'!$E$2,'Dados de entrada'!$E$13*'Dados de entrada'!$E$10/'Dados de entrada'!$B$10,'Dados de entrada'!$E$13*'Dados de entrada'!$E$10/'Dados de entrada'!$B$10*(1-'Dados de entrada'!$E$3)))</f>
        <v/>
      </c>
      <c r="O139" s="71" t="str">
        <f>IF(A139="","",IF(AND(A139='Dados de entrada'!$E$2),(O138*(1+'Dados de entrada'!$B$6)-L139)*(1-'Dados de entrada'!$E$3),IF(AND(A139&lt;&gt;'Dados de entrada'!$A$2),O138*(1+'Dados de entrada'!$B$6)^(C139/30)-L139,"")))</f>
        <v/>
      </c>
      <c r="P139" s="71" t="str">
        <f>IF(A139="","",(O138*((1+'Dados de entrada'!$B$6)^(-DAYS360(B139,B138)/30)-1)-O138*((1+'Dados de entrada'!$H$10)^(-DAYS360(B139,B138)/360)-1))*4.65%)</f>
        <v/>
      </c>
      <c r="Q139" s="75" t="str">
        <f>IF(E139&lt;&gt;"",'Dados de entrada'!$H$5-E139*'Dados de entrada'!$H$6,"")</f>
        <v/>
      </c>
      <c r="R139" s="71" t="str">
        <f>IF(A139="","",IF(A139='Dados de entrada'!$E$2,PV('Dados de entrada'!$B$6,'Dados de entrada'!$B$10-'Dados de entrada'!$E$2+1,+L139*(-'Dados de entrada'!$E$3),,1)+L139*(1-'Dados de entrada'!$E$3)-M139-N139-P139-Q139,L139-M139-N139-P139-Q139))</f>
        <v/>
      </c>
      <c r="S139" s="74" t="str">
        <f t="shared" si="43"/>
        <v/>
      </c>
      <c r="T139" s="67" t="str">
        <f>IF(E139&lt;&gt;"",(-E139)/((1+'Dados de entrada'!$B$6)^(S139/30)),"")</f>
        <v/>
      </c>
      <c r="U139" s="67" t="str">
        <f t="shared" si="44"/>
        <v/>
      </c>
      <c r="V139" s="71" t="str">
        <f>IF(F139="","",-'Dados de entrada'!$B$2)</f>
        <v/>
      </c>
      <c r="X139" s="93">
        <f>+Resumo!$E$12-Resumo!$E$20</f>
        <v>0</v>
      </c>
      <c r="Y139" s="116">
        <f t="shared" si="55"/>
        <v>50351</v>
      </c>
      <c r="Z139" s="81">
        <v>30</v>
      </c>
      <c r="AA139" s="81">
        <f t="shared" ca="1" si="53"/>
        <v>4078</v>
      </c>
      <c r="AB139" s="93">
        <f>IF(A139&lt;='Dados de entrada'!$B$18,'Dados de entrada'!$B$20,0)</f>
        <v>0</v>
      </c>
      <c r="AC139" s="93">
        <f>IF(OR(Resumo!$E$23&gt;0,Resumo!$E$28&gt;0,Resumo!$E$33&gt;0),IF(AND(A139&gt;'Dados de entrada'!$B$18,A139&lt;='Dados de entrada'!$B$10),'Dados de entrada'!$B$21,0),IF(AND(A139&gt;'Dados de entrada'!$B$18,A139&lt;='Dados de entrada'!$B$10),'Dados de entrada'!$B$21,IF(A139&lt;='Dados de entrada'!$B$18,X139,0)))</f>
        <v>0</v>
      </c>
      <c r="AD139" s="93">
        <f ca="1">AC139/((1+'Dados de entrada'!$D$22)^($AA139/360))</f>
        <v>0</v>
      </c>
      <c r="AE139" s="93">
        <f>IF(A139&lt;='Dados de entrada'!$B$27,'Dados de entrada'!$B$29,0)</f>
        <v>0</v>
      </c>
      <c r="AF139" s="93">
        <f>IF(AND(A139&gt;'Dados de entrada'!$B$27,A139&lt;='Dados de entrada'!$B$10),'Dados de entrada'!$B$30,0)</f>
        <v>0</v>
      </c>
      <c r="AG139" s="93">
        <f ca="1">AF139/((1+'Dados de entrada'!$D$31)^($AA139/360))</f>
        <v>0</v>
      </c>
      <c r="AH139" s="93">
        <f>IF(A139&lt;='Dados de entrada'!$B$36,'Dados de entrada'!$B$38,0)</f>
        <v>0</v>
      </c>
      <c r="AI139" s="93">
        <f>IF(AND(A139&gt;'Dados de entrada'!$B$36,A139&lt;='Dados de entrada'!$B$10),'Dados de entrada'!$B$39,0)</f>
        <v>0</v>
      </c>
      <c r="AJ139" s="93">
        <f ca="1">AI139/((1+'Dados de entrada'!$D$40)^($AA139/360))</f>
        <v>0</v>
      </c>
      <c r="AK139" s="93">
        <f>IF(A139&lt;='Dados de entrada'!$B$45,'Dados de entrada'!$B$47,0)</f>
        <v>0</v>
      </c>
      <c r="AL139" s="93">
        <f>IF(AND(A139&gt;'Dados de entrada'!$B$45,A139&lt;='Dados de entrada'!$B$10),'Dados de entrada'!$B$48,0)</f>
        <v>0</v>
      </c>
      <c r="AM139" s="93">
        <f ca="1">AL139/((1+'Dados de entrada'!$D$49)^($AA139/360))</f>
        <v>0</v>
      </c>
      <c r="AN139" s="85">
        <f t="shared" si="54"/>
        <v>0</v>
      </c>
    </row>
    <row r="140" spans="1:40">
      <c r="A140" s="69" t="str">
        <f>IF(A139="","",IF(A139+1&lt;='Dados de entrada'!$B$10,A139+1,""))</f>
        <v/>
      </c>
      <c r="B140" s="70" t="str">
        <f t="shared" si="45"/>
        <v/>
      </c>
      <c r="C140" s="69" t="str">
        <f t="shared" si="46"/>
        <v/>
      </c>
      <c r="D140" s="71" t="str">
        <f>IF(A140="","",F139*(1+'Dados de entrada'!$B$6)^(C140/30))</f>
        <v/>
      </c>
      <c r="E140" s="71" t="str">
        <f>IF(A140="","",-'Dados de entrada'!$J$20)</f>
        <v/>
      </c>
      <c r="F140" s="71" t="str">
        <f t="shared" si="47"/>
        <v/>
      </c>
      <c r="G140" s="71" t="str">
        <f t="shared" si="48"/>
        <v/>
      </c>
      <c r="H140" s="69" t="str">
        <f t="shared" si="49"/>
        <v/>
      </c>
      <c r="I140" s="71" t="str">
        <f>IF(A140="","",MIN(H140,365)*G140*'Dados de entrada'!$B$11+G140*'Dados de entrada'!$B$12)</f>
        <v/>
      </c>
      <c r="J140" s="71" t="str">
        <f t="shared" si="50"/>
        <v/>
      </c>
      <c r="K140" s="71" t="str">
        <f t="shared" si="51"/>
        <v/>
      </c>
      <c r="L140" s="72" t="str">
        <f>IF(A140="","",IF(A140&lt;='Dados de entrada'!$J$2,-V139,-V139*(1-'Dados de entrada'!$J$3)))</f>
        <v/>
      </c>
      <c r="M140" s="72" t="str">
        <f>IF(A140="","",L140*'Dados de entrada'!$E$4)</f>
        <v/>
      </c>
      <c r="N140" s="72" t="str">
        <f>IF(A140="","",IF(A140&lt;='Dados de entrada'!$E$2,'Dados de entrada'!$E$13*'Dados de entrada'!$E$10/'Dados de entrada'!$B$10,'Dados de entrada'!$E$13*'Dados de entrada'!$E$10/'Dados de entrada'!$B$10*(1-'Dados de entrada'!$E$3)))</f>
        <v/>
      </c>
      <c r="O140" s="71" t="str">
        <f>IF(A140="","",IF(AND(A140='Dados de entrada'!$E$2),(O139*(1+'Dados de entrada'!$B$6)-L140)*(1-'Dados de entrada'!$E$3),IF(AND(A140&lt;&gt;'Dados de entrada'!$A$2),O139*(1+'Dados de entrada'!$B$6)^(C140/30)-L140,"")))</f>
        <v/>
      </c>
      <c r="P140" s="71" t="str">
        <f>IF(A140="","",(O139*((1+'Dados de entrada'!$B$6)^(-DAYS360(B140,B139)/30)-1)-O139*((1+'Dados de entrada'!$H$10)^(-DAYS360(B140,B139)/360)-1))*4.65%)</f>
        <v/>
      </c>
      <c r="Q140" s="75" t="str">
        <f>IF(E140&lt;&gt;"",'Dados de entrada'!$H$5-E140*'Dados de entrada'!$H$6,"")</f>
        <v/>
      </c>
      <c r="R140" s="71" t="str">
        <f>IF(A140="","",IF(A140='Dados de entrada'!$E$2,PV('Dados de entrada'!$B$6,'Dados de entrada'!$B$10-'Dados de entrada'!$E$2+1,+L140*(-'Dados de entrada'!$E$3),,1)+L140*(1-'Dados de entrada'!$E$3)-M140-N140-P140-Q140,L140-M140-N140-P140-Q140))</f>
        <v/>
      </c>
      <c r="S140" s="74" t="str">
        <f t="shared" si="43"/>
        <v/>
      </c>
      <c r="T140" s="67" t="str">
        <f>IF(E140&lt;&gt;"",(-E140)/((1+'Dados de entrada'!$B$6)^(S140/30)),"")</f>
        <v/>
      </c>
      <c r="U140" s="67" t="str">
        <f t="shared" si="44"/>
        <v/>
      </c>
      <c r="V140" s="71" t="str">
        <f>IF(F140="","",-'Dados de entrada'!$B$2)</f>
        <v/>
      </c>
      <c r="X140" s="93">
        <f>+Resumo!$E$12-Resumo!$E$20</f>
        <v>0</v>
      </c>
      <c r="Y140" s="116">
        <f t="shared" si="55"/>
        <v>50381</v>
      </c>
      <c r="Z140" s="81">
        <v>30</v>
      </c>
      <c r="AA140" s="81">
        <f t="shared" ca="1" si="53"/>
        <v>4108</v>
      </c>
      <c r="AB140" s="93">
        <f>IF(A140&lt;='Dados de entrada'!$B$18,'Dados de entrada'!$B$20,0)</f>
        <v>0</v>
      </c>
      <c r="AC140" s="93">
        <f>IF(OR(Resumo!$E$23&gt;0,Resumo!$E$28&gt;0,Resumo!$E$33&gt;0),IF(AND(A140&gt;'Dados de entrada'!$B$18,A140&lt;='Dados de entrada'!$B$10),'Dados de entrada'!$B$21,0),IF(AND(A140&gt;'Dados de entrada'!$B$18,A140&lt;='Dados de entrada'!$B$10),'Dados de entrada'!$B$21,IF(A140&lt;='Dados de entrada'!$B$18,X140,0)))</f>
        <v>0</v>
      </c>
      <c r="AD140" s="93">
        <f ca="1">AC140/((1+'Dados de entrada'!$D$22)^($AA140/360))</f>
        <v>0</v>
      </c>
      <c r="AE140" s="93">
        <f>IF(A140&lt;='Dados de entrada'!$B$27,'Dados de entrada'!$B$29,0)</f>
        <v>0</v>
      </c>
      <c r="AF140" s="93">
        <f>IF(AND(A140&gt;'Dados de entrada'!$B$27,A140&lt;='Dados de entrada'!$B$10),'Dados de entrada'!$B$30,0)</f>
        <v>0</v>
      </c>
      <c r="AG140" s="93">
        <f ca="1">AF140/((1+'Dados de entrada'!$D$31)^($AA140/360))</f>
        <v>0</v>
      </c>
      <c r="AH140" s="93">
        <f>IF(A140&lt;='Dados de entrada'!$B$36,'Dados de entrada'!$B$38,0)</f>
        <v>0</v>
      </c>
      <c r="AI140" s="93">
        <f>IF(AND(A140&gt;'Dados de entrada'!$B$36,A140&lt;='Dados de entrada'!$B$10),'Dados de entrada'!$B$39,0)</f>
        <v>0</v>
      </c>
      <c r="AJ140" s="93">
        <f ca="1">AI140/((1+'Dados de entrada'!$D$40)^($AA140/360))</f>
        <v>0</v>
      </c>
      <c r="AK140" s="93">
        <f>IF(A140&lt;='Dados de entrada'!$B$45,'Dados de entrada'!$B$47,0)</f>
        <v>0</v>
      </c>
      <c r="AL140" s="93">
        <f>IF(AND(A140&gt;'Dados de entrada'!$B$45,A140&lt;='Dados de entrada'!$B$10),'Dados de entrada'!$B$48,0)</f>
        <v>0</v>
      </c>
      <c r="AM140" s="93">
        <f ca="1">AL140/((1+'Dados de entrada'!$D$49)^($AA140/360))</f>
        <v>0</v>
      </c>
      <c r="AN140" s="85">
        <f t="shared" si="54"/>
        <v>0</v>
      </c>
    </row>
    <row r="141" spans="1:40">
      <c r="A141" s="69" t="str">
        <f>IF(A140="","",IF(A140+1&lt;='Dados de entrada'!$B$10,A140+1,""))</f>
        <v/>
      </c>
      <c r="B141" s="70" t="str">
        <f t="shared" si="45"/>
        <v/>
      </c>
      <c r="C141" s="69" t="str">
        <f t="shared" si="46"/>
        <v/>
      </c>
      <c r="D141" s="71" t="str">
        <f>IF(A141="","",F140*(1+'Dados de entrada'!$B$6)^(C141/30))</f>
        <v/>
      </c>
      <c r="E141" s="71" t="str">
        <f>IF(A141="","",-'Dados de entrada'!$J$20)</f>
        <v/>
      </c>
      <c r="F141" s="71" t="str">
        <f t="shared" si="47"/>
        <v/>
      </c>
      <c r="G141" s="71" t="str">
        <f t="shared" si="48"/>
        <v/>
      </c>
      <c r="H141" s="69" t="str">
        <f t="shared" si="49"/>
        <v/>
      </c>
      <c r="I141" s="71" t="str">
        <f>IF(A141="","",MIN(H141,365)*G141*'Dados de entrada'!$B$11+G141*'Dados de entrada'!$B$12)</f>
        <v/>
      </c>
      <c r="J141" s="71" t="str">
        <f t="shared" si="50"/>
        <v/>
      </c>
      <c r="K141" s="71" t="str">
        <f t="shared" si="51"/>
        <v/>
      </c>
      <c r="L141" s="72" t="str">
        <f>IF(A141="","",IF(A141&lt;='Dados de entrada'!$J$2,-V140,-V140*(1-'Dados de entrada'!$J$3)))</f>
        <v/>
      </c>
      <c r="M141" s="72" t="str">
        <f>IF(A141="","",L141*'Dados de entrada'!$E$4)</f>
        <v/>
      </c>
      <c r="N141" s="72" t="str">
        <f>IF(A141="","",IF(A141&lt;='Dados de entrada'!$E$2,'Dados de entrada'!$E$13*'Dados de entrada'!$E$10/'Dados de entrada'!$B$10,'Dados de entrada'!$E$13*'Dados de entrada'!$E$10/'Dados de entrada'!$B$10*(1-'Dados de entrada'!$E$3)))</f>
        <v/>
      </c>
      <c r="O141" s="71" t="str">
        <f>IF(A141="","",IF(AND(A141='Dados de entrada'!$E$2),(O140*(1+'Dados de entrada'!$B$6)-L141)*(1-'Dados de entrada'!$E$3),IF(AND(A141&lt;&gt;'Dados de entrada'!$A$2),O140*(1+'Dados de entrada'!$B$6)^(C141/30)-L141,"")))</f>
        <v/>
      </c>
      <c r="P141" s="71" t="str">
        <f>IF(A141="","",(O140*((1+'Dados de entrada'!$B$6)^(-DAYS360(B141,B140)/30)-1)-O140*((1+'Dados de entrada'!$H$10)^(-DAYS360(B141,B140)/360)-1))*4.65%)</f>
        <v/>
      </c>
      <c r="Q141" s="75" t="str">
        <f>IF(E141&lt;&gt;"",'Dados de entrada'!$H$5-E141*'Dados de entrada'!$H$6,"")</f>
        <v/>
      </c>
      <c r="R141" s="71" t="str">
        <f>IF(A141="","",IF(A141='Dados de entrada'!$E$2,PV('Dados de entrada'!$B$6,'Dados de entrada'!$B$10-'Dados de entrada'!$E$2+1,+L141*(-'Dados de entrada'!$E$3),,1)+L141*(1-'Dados de entrada'!$E$3)-M141-N141-P141-Q141,L141-M141-N141-P141-Q141))</f>
        <v/>
      </c>
      <c r="S141" s="74" t="str">
        <f t="shared" si="43"/>
        <v/>
      </c>
      <c r="T141" s="67" t="str">
        <f>IF(E141&lt;&gt;"",(-E141)/((1+'Dados de entrada'!$B$6)^(S141/30)),"")</f>
        <v/>
      </c>
      <c r="U141" s="67" t="str">
        <f t="shared" si="44"/>
        <v/>
      </c>
      <c r="V141" s="71" t="str">
        <f>IF(F141="","",-'Dados de entrada'!$B$2)</f>
        <v/>
      </c>
      <c r="X141" s="93">
        <f>+Resumo!$E$12-Resumo!$E$20</f>
        <v>0</v>
      </c>
      <c r="Y141" s="116">
        <f t="shared" si="55"/>
        <v>50412</v>
      </c>
      <c r="Z141" s="81">
        <v>30</v>
      </c>
      <c r="AA141" s="81">
        <f t="shared" ca="1" si="53"/>
        <v>4138</v>
      </c>
      <c r="AB141" s="93">
        <f>IF(A141&lt;='Dados de entrada'!$B$18,'Dados de entrada'!$B$20,0)</f>
        <v>0</v>
      </c>
      <c r="AC141" s="93">
        <f>IF(OR(Resumo!$E$23&gt;0,Resumo!$E$28&gt;0,Resumo!$E$33&gt;0),IF(AND(A141&gt;'Dados de entrada'!$B$18,A141&lt;='Dados de entrada'!$B$10),'Dados de entrada'!$B$21,0),IF(AND(A141&gt;'Dados de entrada'!$B$18,A141&lt;='Dados de entrada'!$B$10),'Dados de entrada'!$B$21,IF(A141&lt;='Dados de entrada'!$B$18,X141,0)))</f>
        <v>0</v>
      </c>
      <c r="AD141" s="93">
        <f ca="1">AC141/((1+'Dados de entrada'!$D$22)^($AA141/360))</f>
        <v>0</v>
      </c>
      <c r="AE141" s="93">
        <f>IF(A141&lt;='Dados de entrada'!$B$27,'Dados de entrada'!$B$29,0)</f>
        <v>0</v>
      </c>
      <c r="AF141" s="93">
        <f>IF(AND(A141&gt;'Dados de entrada'!$B$27,A141&lt;='Dados de entrada'!$B$10),'Dados de entrada'!$B$30,0)</f>
        <v>0</v>
      </c>
      <c r="AG141" s="93">
        <f ca="1">AF141/((1+'Dados de entrada'!$D$31)^($AA141/360))</f>
        <v>0</v>
      </c>
      <c r="AH141" s="93">
        <f>IF(A141&lt;='Dados de entrada'!$B$36,'Dados de entrada'!$B$38,0)</f>
        <v>0</v>
      </c>
      <c r="AI141" s="93">
        <f>IF(AND(A141&gt;'Dados de entrada'!$B$36,A141&lt;='Dados de entrada'!$B$10),'Dados de entrada'!$B$39,0)</f>
        <v>0</v>
      </c>
      <c r="AJ141" s="93">
        <f ca="1">AI141/((1+'Dados de entrada'!$D$40)^($AA141/360))</f>
        <v>0</v>
      </c>
      <c r="AK141" s="93">
        <f>IF(A141&lt;='Dados de entrada'!$B$45,'Dados de entrada'!$B$47,0)</f>
        <v>0</v>
      </c>
      <c r="AL141" s="93">
        <f>IF(AND(A141&gt;'Dados de entrada'!$B$45,A141&lt;='Dados de entrada'!$B$10),'Dados de entrada'!$B$48,0)</f>
        <v>0</v>
      </c>
      <c r="AM141" s="93">
        <f ca="1">AL141/((1+'Dados de entrada'!$D$49)^($AA141/360))</f>
        <v>0</v>
      </c>
      <c r="AN141" s="85">
        <f t="shared" si="54"/>
        <v>0</v>
      </c>
    </row>
    <row r="142" spans="1:40">
      <c r="A142" s="69" t="str">
        <f>IF(A141="","",IF(A141+1&lt;='Dados de entrada'!$B$10,A141+1,""))</f>
        <v/>
      </c>
      <c r="B142" s="70" t="str">
        <f t="shared" si="45"/>
        <v/>
      </c>
      <c r="C142" s="69" t="str">
        <f t="shared" si="46"/>
        <v/>
      </c>
      <c r="D142" s="71" t="str">
        <f>IF(A142="","",F141*(1+'Dados de entrada'!$B$6)^(C142/30))</f>
        <v/>
      </c>
      <c r="E142" s="71" t="str">
        <f>IF(A142="","",-'Dados de entrada'!$J$20)</f>
        <v/>
      </c>
      <c r="F142" s="71" t="str">
        <f t="shared" si="47"/>
        <v/>
      </c>
      <c r="G142" s="71" t="str">
        <f t="shared" si="48"/>
        <v/>
      </c>
      <c r="H142" s="69" t="str">
        <f t="shared" si="49"/>
        <v/>
      </c>
      <c r="I142" s="71" t="str">
        <f>IF(A142="","",MIN(H142,365)*G142*'Dados de entrada'!$B$11+G142*'Dados de entrada'!$B$12)</f>
        <v/>
      </c>
      <c r="J142" s="71" t="str">
        <f t="shared" si="50"/>
        <v/>
      </c>
      <c r="K142" s="71" t="str">
        <f t="shared" si="51"/>
        <v/>
      </c>
      <c r="L142" s="72" t="str">
        <f>IF(A142="","",IF(A142&lt;='Dados de entrada'!$J$2,-V141,-V141*(1-'Dados de entrada'!$J$3)))</f>
        <v/>
      </c>
      <c r="M142" s="72" t="str">
        <f>IF(A142="","",L142*'Dados de entrada'!$E$4)</f>
        <v/>
      </c>
      <c r="N142" s="72" t="str">
        <f>IF(A142="","",IF(A142&lt;='Dados de entrada'!$E$2,'Dados de entrada'!$E$13*'Dados de entrada'!$E$10/'Dados de entrada'!$B$10,'Dados de entrada'!$E$13*'Dados de entrada'!$E$10/'Dados de entrada'!$B$10*(1-'Dados de entrada'!$E$3)))</f>
        <v/>
      </c>
      <c r="O142" s="71" t="str">
        <f>IF(A142="","",IF(AND(A142='Dados de entrada'!$E$2),(O141*(1+'Dados de entrada'!$B$6)-L142)*(1-'Dados de entrada'!$E$3),IF(AND(A142&lt;&gt;'Dados de entrada'!$A$2),O141*(1+'Dados de entrada'!$B$6)^(C142/30)-L142,"")))</f>
        <v/>
      </c>
      <c r="P142" s="71" t="str">
        <f>IF(A142="","",(O141*((1+'Dados de entrada'!$B$6)^(-DAYS360(B142,B141)/30)-1)-O141*((1+'Dados de entrada'!$H$10)^(-DAYS360(B142,B141)/360)-1))*4.65%)</f>
        <v/>
      </c>
      <c r="Q142" s="75" t="str">
        <f>IF(E142&lt;&gt;"",'Dados de entrada'!$H$5-E142*'Dados de entrada'!$H$6,"")</f>
        <v/>
      </c>
      <c r="R142" s="71" t="str">
        <f>IF(A142="","",IF(A142='Dados de entrada'!$E$2,PV('Dados de entrada'!$B$6,'Dados de entrada'!$B$10-'Dados de entrada'!$E$2+1,+L142*(-'Dados de entrada'!$E$3),,1)+L142*(1-'Dados de entrada'!$E$3)-M142-N142-P142-Q142,L142-M142-N142-P142-Q142))</f>
        <v/>
      </c>
      <c r="S142" s="74" t="str">
        <f t="shared" si="43"/>
        <v/>
      </c>
      <c r="T142" s="67" t="str">
        <f>IF(E142&lt;&gt;"",(-E142)/((1+'Dados de entrada'!$B$6)^(S142/30)),"")</f>
        <v/>
      </c>
      <c r="U142" s="67" t="str">
        <f t="shared" si="44"/>
        <v/>
      </c>
      <c r="V142" s="71" t="str">
        <f>IF(F142="","",-'Dados de entrada'!$B$2)</f>
        <v/>
      </c>
      <c r="X142" s="93">
        <f>+Resumo!$E$12-Resumo!$E$20</f>
        <v>0</v>
      </c>
      <c r="Y142" s="116">
        <f t="shared" si="55"/>
        <v>50443</v>
      </c>
      <c r="Z142" s="81">
        <v>30</v>
      </c>
      <c r="AA142" s="81">
        <f t="shared" ca="1" si="53"/>
        <v>4168</v>
      </c>
      <c r="AB142" s="93">
        <f>IF(A142&lt;='Dados de entrada'!$B$18,'Dados de entrada'!$B$20,0)</f>
        <v>0</v>
      </c>
      <c r="AC142" s="93">
        <f>IF(OR(Resumo!$E$23&gt;0,Resumo!$E$28&gt;0,Resumo!$E$33&gt;0),IF(AND(A142&gt;'Dados de entrada'!$B$18,A142&lt;='Dados de entrada'!$B$10),'Dados de entrada'!$B$21,0),IF(AND(A142&gt;'Dados de entrada'!$B$18,A142&lt;='Dados de entrada'!$B$10),'Dados de entrada'!$B$21,IF(A142&lt;='Dados de entrada'!$B$18,X142,0)))</f>
        <v>0</v>
      </c>
      <c r="AD142" s="93">
        <f ca="1">AC142/((1+'Dados de entrada'!$D$22)^($AA142/360))</f>
        <v>0</v>
      </c>
      <c r="AE142" s="93">
        <f>IF(A142&lt;='Dados de entrada'!$B$27,'Dados de entrada'!$B$29,0)</f>
        <v>0</v>
      </c>
      <c r="AF142" s="93">
        <f>IF(AND(A142&gt;'Dados de entrada'!$B$27,A142&lt;='Dados de entrada'!$B$10),'Dados de entrada'!$B$30,0)</f>
        <v>0</v>
      </c>
      <c r="AG142" s="93">
        <f ca="1">AF142/((1+'Dados de entrada'!$D$31)^($AA142/360))</f>
        <v>0</v>
      </c>
      <c r="AH142" s="93">
        <f>IF(A142&lt;='Dados de entrada'!$B$36,'Dados de entrada'!$B$38,0)</f>
        <v>0</v>
      </c>
      <c r="AI142" s="93">
        <f>IF(AND(A142&gt;'Dados de entrada'!$B$36,A142&lt;='Dados de entrada'!$B$10),'Dados de entrada'!$B$39,0)</f>
        <v>0</v>
      </c>
      <c r="AJ142" s="93">
        <f ca="1">AI142/((1+'Dados de entrada'!$D$40)^($AA142/360))</f>
        <v>0</v>
      </c>
      <c r="AK142" s="93">
        <f>IF(A142&lt;='Dados de entrada'!$B$45,'Dados de entrada'!$B$47,0)</f>
        <v>0</v>
      </c>
      <c r="AL142" s="93">
        <f>IF(AND(A142&gt;'Dados de entrada'!$B$45,A142&lt;='Dados de entrada'!$B$10),'Dados de entrada'!$B$48,0)</f>
        <v>0</v>
      </c>
      <c r="AM142" s="93">
        <f ca="1">AL142/((1+'Dados de entrada'!$D$49)^($AA142/360))</f>
        <v>0</v>
      </c>
      <c r="AN142" s="85">
        <f t="shared" si="54"/>
        <v>0</v>
      </c>
    </row>
    <row r="143" spans="1:40">
      <c r="A143" s="69" t="str">
        <f>IF(A142="","",IF(A142+1&lt;='Dados de entrada'!$B$10,A142+1,""))</f>
        <v/>
      </c>
      <c r="B143" s="70" t="str">
        <f t="shared" si="45"/>
        <v/>
      </c>
      <c r="C143" s="69" t="str">
        <f t="shared" si="46"/>
        <v/>
      </c>
      <c r="D143" s="71" t="str">
        <f>IF(A143="","",F142*(1+'Dados de entrada'!$B$6)^(C143/30))</f>
        <v/>
      </c>
      <c r="E143" s="71" t="str">
        <f>IF(A143="","",-'Dados de entrada'!$J$20)</f>
        <v/>
      </c>
      <c r="F143" s="71" t="str">
        <f t="shared" si="47"/>
        <v/>
      </c>
      <c r="G143" s="71" t="str">
        <f t="shared" si="48"/>
        <v/>
      </c>
      <c r="H143" s="69" t="str">
        <f t="shared" si="49"/>
        <v/>
      </c>
      <c r="I143" s="71" t="str">
        <f>IF(A143="","",MIN(H143,365)*G143*'Dados de entrada'!$B$11+G143*'Dados de entrada'!$B$12)</f>
        <v/>
      </c>
      <c r="J143" s="71" t="str">
        <f t="shared" si="50"/>
        <v/>
      </c>
      <c r="K143" s="71" t="str">
        <f t="shared" si="51"/>
        <v/>
      </c>
      <c r="L143" s="72" t="str">
        <f>IF(A143="","",IF(A143&lt;='Dados de entrada'!$J$2,-V142,-V142*(1-'Dados de entrada'!$J$3)))</f>
        <v/>
      </c>
      <c r="M143" s="72" t="str">
        <f>IF(A143="","",L143*'Dados de entrada'!$E$4)</f>
        <v/>
      </c>
      <c r="N143" s="72" t="str">
        <f>IF(A143="","",IF(A143&lt;='Dados de entrada'!$E$2,'Dados de entrada'!$E$13*'Dados de entrada'!$E$10/'Dados de entrada'!$B$10,'Dados de entrada'!$E$13*'Dados de entrada'!$E$10/'Dados de entrada'!$B$10*(1-'Dados de entrada'!$E$3)))</f>
        <v/>
      </c>
      <c r="O143" s="71" t="str">
        <f>IF(A143="","",IF(AND(A143='Dados de entrada'!$E$2),(O142*(1+'Dados de entrada'!$B$6)-L143)*(1-'Dados de entrada'!$E$3),IF(AND(A143&lt;&gt;'Dados de entrada'!$A$2),O142*(1+'Dados de entrada'!$B$6)^(C143/30)-L143,"")))</f>
        <v/>
      </c>
      <c r="P143" s="71" t="str">
        <f>IF(A143="","",(O142*((1+'Dados de entrada'!$B$6)^(-DAYS360(B143,B142)/30)-1)-O142*((1+'Dados de entrada'!$H$10)^(-DAYS360(B143,B142)/360)-1))*4.65%)</f>
        <v/>
      </c>
      <c r="Q143" s="75" t="str">
        <f>IF(E143&lt;&gt;"",'Dados de entrada'!$H$5-E143*'Dados de entrada'!$H$6,"")</f>
        <v/>
      </c>
      <c r="R143" s="71" t="str">
        <f>IF(A143="","",IF(A143='Dados de entrada'!$E$2,PV('Dados de entrada'!$B$6,'Dados de entrada'!$B$10-'Dados de entrada'!$E$2+1,+L143*(-'Dados de entrada'!$E$3),,1)+L143*(1-'Dados de entrada'!$E$3)-M143-N143-P143-Q143,L143-M143-N143-P143-Q143))</f>
        <v/>
      </c>
      <c r="S143" s="74" t="str">
        <f t="shared" si="43"/>
        <v/>
      </c>
      <c r="T143" s="67" t="str">
        <f>IF(E143&lt;&gt;"",(-E143)/((1+'Dados de entrada'!$B$6)^(S143/30)),"")</f>
        <v/>
      </c>
      <c r="U143" s="67" t="str">
        <f t="shared" si="44"/>
        <v/>
      </c>
      <c r="V143" s="71" t="str">
        <f>IF(F143="","",-'Dados de entrada'!$B$2)</f>
        <v/>
      </c>
      <c r="X143" s="93">
        <f>+Resumo!$E$12-Resumo!$E$20</f>
        <v>0</v>
      </c>
      <c r="Y143" s="116">
        <f t="shared" si="55"/>
        <v>50471</v>
      </c>
      <c r="Z143" s="81">
        <v>30</v>
      </c>
      <c r="AA143" s="81">
        <f t="shared" ca="1" si="53"/>
        <v>4198</v>
      </c>
      <c r="AB143" s="93">
        <f>IF(A143&lt;='Dados de entrada'!$B$18,'Dados de entrada'!$B$20,0)</f>
        <v>0</v>
      </c>
      <c r="AC143" s="93">
        <f>IF(OR(Resumo!$E$23&gt;0,Resumo!$E$28&gt;0,Resumo!$E$33&gt;0),IF(AND(A143&gt;'Dados de entrada'!$B$18,A143&lt;='Dados de entrada'!$B$10),'Dados de entrada'!$B$21,0),IF(AND(A143&gt;'Dados de entrada'!$B$18,A143&lt;='Dados de entrada'!$B$10),'Dados de entrada'!$B$21,IF(A143&lt;='Dados de entrada'!$B$18,X143,0)))</f>
        <v>0</v>
      </c>
      <c r="AD143" s="93">
        <f ca="1">AC143/((1+'Dados de entrada'!$D$22)^($AA143/360))</f>
        <v>0</v>
      </c>
      <c r="AE143" s="93">
        <f>IF(A143&lt;='Dados de entrada'!$B$27,'Dados de entrada'!$B$29,0)</f>
        <v>0</v>
      </c>
      <c r="AF143" s="93">
        <f>IF(AND(A143&gt;'Dados de entrada'!$B$27,A143&lt;='Dados de entrada'!$B$10),'Dados de entrada'!$B$30,0)</f>
        <v>0</v>
      </c>
      <c r="AG143" s="93">
        <f ca="1">AF143/((1+'Dados de entrada'!$D$31)^($AA143/360))</f>
        <v>0</v>
      </c>
      <c r="AH143" s="93">
        <f>IF(A143&lt;='Dados de entrada'!$B$36,'Dados de entrada'!$B$38,0)</f>
        <v>0</v>
      </c>
      <c r="AI143" s="93">
        <f>IF(AND(A143&gt;'Dados de entrada'!$B$36,A143&lt;='Dados de entrada'!$B$10),'Dados de entrada'!$B$39,0)</f>
        <v>0</v>
      </c>
      <c r="AJ143" s="93">
        <f ca="1">AI143/((1+'Dados de entrada'!$D$40)^($AA143/360))</f>
        <v>0</v>
      </c>
      <c r="AK143" s="93">
        <f>IF(A143&lt;='Dados de entrada'!$B$45,'Dados de entrada'!$B$47,0)</f>
        <v>0</v>
      </c>
      <c r="AL143" s="93">
        <f>IF(AND(A143&gt;'Dados de entrada'!$B$45,A143&lt;='Dados de entrada'!$B$10),'Dados de entrada'!$B$48,0)</f>
        <v>0</v>
      </c>
      <c r="AM143" s="93">
        <f ca="1">AL143/((1+'Dados de entrada'!$D$49)^($AA143/360))</f>
        <v>0</v>
      </c>
      <c r="AN143" s="85">
        <f t="shared" si="54"/>
        <v>0</v>
      </c>
    </row>
    <row r="144" spans="1:40">
      <c r="A144" s="69" t="str">
        <f>IF(A143="","",IF(A143+1&lt;='Dados de entrada'!$B$10,A143+1,""))</f>
        <v/>
      </c>
      <c r="B144" s="70" t="str">
        <f t="shared" si="45"/>
        <v/>
      </c>
      <c r="C144" s="69" t="str">
        <f t="shared" si="46"/>
        <v/>
      </c>
      <c r="D144" s="71" t="str">
        <f>IF(A144="","",F143*(1+'Dados de entrada'!$B$6)^(C144/30))</f>
        <v/>
      </c>
      <c r="E144" s="71" t="str">
        <f>IF(A144="","",-'Dados de entrada'!$J$20)</f>
        <v/>
      </c>
      <c r="F144" s="71" t="str">
        <f t="shared" si="47"/>
        <v/>
      </c>
      <c r="G144" s="71" t="str">
        <f t="shared" si="48"/>
        <v/>
      </c>
      <c r="H144" s="69" t="str">
        <f t="shared" si="49"/>
        <v/>
      </c>
      <c r="I144" s="71" t="str">
        <f>IF(A144="","",MIN(H144,365)*G144*'Dados de entrada'!$B$11+G144*'Dados de entrada'!$B$12)</f>
        <v/>
      </c>
      <c r="J144" s="71" t="str">
        <f t="shared" si="50"/>
        <v/>
      </c>
      <c r="K144" s="71" t="str">
        <f t="shared" si="51"/>
        <v/>
      </c>
      <c r="L144" s="72" t="str">
        <f>IF(A144="","",IF(A144&lt;='Dados de entrada'!$J$2,-V143,-V143*(1-'Dados de entrada'!$J$3)))</f>
        <v/>
      </c>
      <c r="M144" s="72" t="str">
        <f>IF(A144="","",L144*'Dados de entrada'!$E$4)</f>
        <v/>
      </c>
      <c r="N144" s="72" t="str">
        <f>IF(A144="","",IF(A144&lt;='Dados de entrada'!$E$2,'Dados de entrada'!$E$13*'Dados de entrada'!$E$10/'Dados de entrada'!$B$10,'Dados de entrada'!$E$13*'Dados de entrada'!$E$10/'Dados de entrada'!$B$10*(1-'Dados de entrada'!$E$3)))</f>
        <v/>
      </c>
      <c r="O144" s="71" t="str">
        <f>IF(A144="","",IF(AND(A144='Dados de entrada'!$E$2),(O143*(1+'Dados de entrada'!$B$6)-L144)*(1-'Dados de entrada'!$E$3),IF(AND(A144&lt;&gt;'Dados de entrada'!$A$2),O143*(1+'Dados de entrada'!$B$6)^(C144/30)-L144,"")))</f>
        <v/>
      </c>
      <c r="P144" s="71" t="str">
        <f>IF(A144="","",(O143*((1+'Dados de entrada'!$B$6)^(-DAYS360(B144,B143)/30)-1)-O143*((1+'Dados de entrada'!$H$10)^(-DAYS360(B144,B143)/360)-1))*4.65%)</f>
        <v/>
      </c>
      <c r="Q144" s="75" t="str">
        <f>IF(E144&lt;&gt;"",'Dados de entrada'!$H$5-E144*'Dados de entrada'!$H$6,"")</f>
        <v/>
      </c>
      <c r="R144" s="71" t="str">
        <f>IF(A144="","",IF(A144='Dados de entrada'!$E$2,PV('Dados de entrada'!$B$6,'Dados de entrada'!$B$10-'Dados de entrada'!$E$2+1,+L144*(-'Dados de entrada'!$E$3),,1)+L144*(1-'Dados de entrada'!$E$3)-M144-N144-P144-Q144,L144-M144-N144-P144-Q144))</f>
        <v/>
      </c>
      <c r="S144" s="74" t="str">
        <f t="shared" si="43"/>
        <v/>
      </c>
      <c r="T144" s="67" t="str">
        <f>IF(E144&lt;&gt;"",(-E144)/((1+'Dados de entrada'!$B$6)^(S144/30)),"")</f>
        <v/>
      </c>
      <c r="U144" s="67" t="str">
        <f t="shared" si="44"/>
        <v/>
      </c>
      <c r="V144" s="71" t="str">
        <f>IF(F144="","",-'Dados de entrada'!$B$2)</f>
        <v/>
      </c>
      <c r="X144" s="93">
        <f>+Resumo!$E$12-Resumo!$E$20</f>
        <v>0</v>
      </c>
      <c r="Y144" s="116">
        <f t="shared" si="55"/>
        <v>50502</v>
      </c>
      <c r="Z144" s="81">
        <v>30</v>
      </c>
      <c r="AA144" s="81">
        <f t="shared" ca="1" si="53"/>
        <v>4228</v>
      </c>
      <c r="AB144" s="93">
        <f>IF(A144&lt;='Dados de entrada'!$B$18,'Dados de entrada'!$B$20,0)</f>
        <v>0</v>
      </c>
      <c r="AC144" s="93">
        <f>IF(OR(Resumo!$E$23&gt;0,Resumo!$E$28&gt;0,Resumo!$E$33&gt;0),IF(AND(A144&gt;'Dados de entrada'!$B$18,A144&lt;='Dados de entrada'!$B$10),'Dados de entrada'!$B$21,0),IF(AND(A144&gt;'Dados de entrada'!$B$18,A144&lt;='Dados de entrada'!$B$10),'Dados de entrada'!$B$21,IF(A144&lt;='Dados de entrada'!$B$18,X144,0)))</f>
        <v>0</v>
      </c>
      <c r="AD144" s="93">
        <f ca="1">AC144/((1+'Dados de entrada'!$D$22)^($AA144/360))</f>
        <v>0</v>
      </c>
      <c r="AE144" s="93">
        <f>IF(A144&lt;='Dados de entrada'!$B$27,'Dados de entrada'!$B$29,0)</f>
        <v>0</v>
      </c>
      <c r="AF144" s="93">
        <f>IF(AND(A144&gt;'Dados de entrada'!$B$27,A144&lt;='Dados de entrada'!$B$10),'Dados de entrada'!$B$30,0)</f>
        <v>0</v>
      </c>
      <c r="AG144" s="93">
        <f ca="1">AF144/((1+'Dados de entrada'!$D$31)^($AA144/360))</f>
        <v>0</v>
      </c>
      <c r="AH144" s="93">
        <f>IF(A144&lt;='Dados de entrada'!$B$36,'Dados de entrada'!$B$38,0)</f>
        <v>0</v>
      </c>
      <c r="AI144" s="93">
        <f>IF(AND(A144&gt;'Dados de entrada'!$B$36,A144&lt;='Dados de entrada'!$B$10),'Dados de entrada'!$B$39,0)</f>
        <v>0</v>
      </c>
      <c r="AJ144" s="93">
        <f ca="1">AI144/((1+'Dados de entrada'!$D$40)^($AA144/360))</f>
        <v>0</v>
      </c>
      <c r="AK144" s="93">
        <f>IF(A144&lt;='Dados de entrada'!$B$45,'Dados de entrada'!$B$47,0)</f>
        <v>0</v>
      </c>
      <c r="AL144" s="93">
        <f>IF(AND(A144&gt;'Dados de entrada'!$B$45,A144&lt;='Dados de entrada'!$B$10),'Dados de entrada'!$B$48,0)</f>
        <v>0</v>
      </c>
      <c r="AM144" s="93">
        <f ca="1">AL144/((1+'Dados de entrada'!$D$49)^($AA144/360))</f>
        <v>0</v>
      </c>
      <c r="AN144" s="85">
        <f t="shared" si="54"/>
        <v>0</v>
      </c>
    </row>
    <row r="145" spans="1:40">
      <c r="A145" s="69" t="str">
        <f>IF(A144="","",IF(A144+1&lt;='Dados de entrada'!$B$10,A144+1,""))</f>
        <v/>
      </c>
      <c r="B145" s="70" t="str">
        <f t="shared" si="45"/>
        <v/>
      </c>
      <c r="C145" s="69" t="str">
        <f t="shared" si="46"/>
        <v/>
      </c>
      <c r="D145" s="71" t="str">
        <f>IF(A145="","",F144*(1+'Dados de entrada'!$B$6)^(C145/30))</f>
        <v/>
      </c>
      <c r="E145" s="71" t="str">
        <f>IF(A145="","",-'Dados de entrada'!$J$20)</f>
        <v/>
      </c>
      <c r="F145" s="71" t="str">
        <f t="shared" si="47"/>
        <v/>
      </c>
      <c r="G145" s="71" t="str">
        <f t="shared" si="48"/>
        <v/>
      </c>
      <c r="H145" s="69" t="str">
        <f t="shared" si="49"/>
        <v/>
      </c>
      <c r="I145" s="71" t="str">
        <f>IF(A145="","",MIN(H145,365)*G145*'Dados de entrada'!$B$11+G145*'Dados de entrada'!$B$12)</f>
        <v/>
      </c>
      <c r="J145" s="71" t="str">
        <f t="shared" si="50"/>
        <v/>
      </c>
      <c r="K145" s="71" t="str">
        <f t="shared" si="51"/>
        <v/>
      </c>
      <c r="L145" s="72" t="str">
        <f>IF(A145="","",IF(A145&lt;='Dados de entrada'!$J$2,-V144,-V144*(1-'Dados de entrada'!$J$3)))</f>
        <v/>
      </c>
      <c r="M145" s="72" t="str">
        <f>IF(A145="","",L145*'Dados de entrada'!$E$4)</f>
        <v/>
      </c>
      <c r="N145" s="72" t="str">
        <f>IF(A145="","",IF(A145&lt;='Dados de entrada'!$E$2,'Dados de entrada'!$E$13*'Dados de entrada'!$E$10/'Dados de entrada'!$B$10,'Dados de entrada'!$E$13*'Dados de entrada'!$E$10/'Dados de entrada'!$B$10*(1-'Dados de entrada'!$E$3)))</f>
        <v/>
      </c>
      <c r="O145" s="71" t="str">
        <f>IF(A145="","",IF(AND(A145='Dados de entrada'!$E$2),(O144*(1+'Dados de entrada'!$B$6)-L145)*(1-'Dados de entrada'!$E$3),IF(AND(A145&lt;&gt;'Dados de entrada'!$A$2),O144*(1+'Dados de entrada'!$B$6)^(C145/30)-L145,"")))</f>
        <v/>
      </c>
      <c r="P145" s="71" t="str">
        <f>IF(A145="","",(O144*((1+'Dados de entrada'!$B$6)^(-DAYS360(B145,B144)/30)-1)-O144*((1+'Dados de entrada'!$H$10)^(-DAYS360(B145,B144)/360)-1))*4.65%)</f>
        <v/>
      </c>
      <c r="Q145" s="75" t="str">
        <f>IF(E145&lt;&gt;"",'Dados de entrada'!$H$5-E145*'Dados de entrada'!$H$6,"")</f>
        <v/>
      </c>
      <c r="R145" s="71" t="str">
        <f>IF(A145="","",IF(A145='Dados de entrada'!$E$2,PV('Dados de entrada'!$B$6,'Dados de entrada'!$B$10-'Dados de entrada'!$E$2+1,+L145*(-'Dados de entrada'!$E$3),,1)+L145*(1-'Dados de entrada'!$E$3)-M145-N145-P145-Q145,L145-M145-N145-P145-Q145))</f>
        <v/>
      </c>
      <c r="S145" s="74" t="str">
        <f t="shared" si="43"/>
        <v/>
      </c>
      <c r="T145" s="67" t="str">
        <f>IF(E145&lt;&gt;"",(-E145)/((1+'Dados de entrada'!$B$6)^(S145/30)),"")</f>
        <v/>
      </c>
      <c r="U145" s="67" t="str">
        <f t="shared" si="44"/>
        <v/>
      </c>
      <c r="V145" s="71" t="str">
        <f>IF(F145="","",-'Dados de entrada'!$B$2)</f>
        <v/>
      </c>
      <c r="X145" s="93">
        <f>+Resumo!$E$12-Resumo!$E$20</f>
        <v>0</v>
      </c>
      <c r="Y145" s="116">
        <f t="shared" si="55"/>
        <v>50532</v>
      </c>
      <c r="Z145" s="81">
        <v>30</v>
      </c>
      <c r="AA145" s="81">
        <f t="shared" ca="1" si="53"/>
        <v>4258</v>
      </c>
      <c r="AB145" s="93">
        <f>IF(A145&lt;='Dados de entrada'!$B$18,'Dados de entrada'!$B$20,0)</f>
        <v>0</v>
      </c>
      <c r="AC145" s="93">
        <f>IF(OR(Resumo!$E$23&gt;0,Resumo!$E$28&gt;0,Resumo!$E$33&gt;0),IF(AND(A145&gt;'Dados de entrada'!$B$18,A145&lt;='Dados de entrada'!$B$10),'Dados de entrada'!$B$21,0),IF(AND(A145&gt;'Dados de entrada'!$B$18,A145&lt;='Dados de entrada'!$B$10),'Dados de entrada'!$B$21,IF(A145&lt;='Dados de entrada'!$B$18,X145,0)))</f>
        <v>0</v>
      </c>
      <c r="AD145" s="93">
        <f ca="1">AC145/((1+'Dados de entrada'!$D$22)^($AA145/360))</f>
        <v>0</v>
      </c>
      <c r="AE145" s="93">
        <f>IF(A145&lt;='Dados de entrada'!$B$27,'Dados de entrada'!$B$29,0)</f>
        <v>0</v>
      </c>
      <c r="AF145" s="93">
        <f>IF(AND(A145&gt;'Dados de entrada'!$B$27,A145&lt;='Dados de entrada'!$B$10),'Dados de entrada'!$B$30,0)</f>
        <v>0</v>
      </c>
      <c r="AG145" s="93">
        <f ca="1">AF145/((1+'Dados de entrada'!$D$31)^($AA145/360))</f>
        <v>0</v>
      </c>
      <c r="AH145" s="93">
        <f>IF(A145&lt;='Dados de entrada'!$B$36,'Dados de entrada'!$B$38,0)</f>
        <v>0</v>
      </c>
      <c r="AI145" s="93">
        <f>IF(AND(A145&gt;'Dados de entrada'!$B$36,A145&lt;='Dados de entrada'!$B$10),'Dados de entrada'!$B$39,0)</f>
        <v>0</v>
      </c>
      <c r="AJ145" s="93">
        <f ca="1">AI145/((1+'Dados de entrada'!$D$40)^($AA145/360))</f>
        <v>0</v>
      </c>
      <c r="AK145" s="93">
        <f>IF(A145&lt;='Dados de entrada'!$B$45,'Dados de entrada'!$B$47,0)</f>
        <v>0</v>
      </c>
      <c r="AL145" s="93">
        <f>IF(AND(A145&gt;'Dados de entrada'!$B$45,A145&lt;='Dados de entrada'!$B$10),'Dados de entrada'!$B$48,0)</f>
        <v>0</v>
      </c>
      <c r="AM145" s="93">
        <f ca="1">AL145/((1+'Dados de entrada'!$D$49)^($AA145/360))</f>
        <v>0</v>
      </c>
      <c r="AN145" s="85">
        <f t="shared" si="54"/>
        <v>0</v>
      </c>
    </row>
    <row r="146" spans="1:40">
      <c r="A146" s="69" t="str">
        <f>IF(A145="","",IF(A145+1&lt;='Dados de entrada'!$B$10,A145+1,""))</f>
        <v/>
      </c>
      <c r="B146" s="70" t="str">
        <f t="shared" si="45"/>
        <v/>
      </c>
      <c r="C146" s="69" t="str">
        <f t="shared" si="46"/>
        <v/>
      </c>
      <c r="D146" s="71" t="str">
        <f>IF(A146="","",F145*(1+'Dados de entrada'!$B$6)^(C146/30))</f>
        <v/>
      </c>
      <c r="E146" s="71" t="str">
        <f>IF(A146="","",-'Dados de entrada'!$J$20)</f>
        <v/>
      </c>
      <c r="F146" s="71" t="str">
        <f t="shared" si="47"/>
        <v/>
      </c>
      <c r="G146" s="71" t="str">
        <f t="shared" si="48"/>
        <v/>
      </c>
      <c r="H146" s="69" t="str">
        <f t="shared" si="49"/>
        <v/>
      </c>
      <c r="I146" s="71" t="str">
        <f>IF(A146="","",MIN(H146,365)*G146*'Dados de entrada'!$B$11+G146*'Dados de entrada'!$B$12)</f>
        <v/>
      </c>
      <c r="J146" s="71" t="str">
        <f t="shared" si="50"/>
        <v/>
      </c>
      <c r="K146" s="71" t="str">
        <f t="shared" si="51"/>
        <v/>
      </c>
      <c r="L146" s="72" t="str">
        <f>IF(A146="","",IF(A146&lt;='Dados de entrada'!$J$2,-V145,-V145*(1-'Dados de entrada'!$J$3)))</f>
        <v/>
      </c>
      <c r="M146" s="72" t="str">
        <f>IF(A146="","",L146*'Dados de entrada'!$E$4)</f>
        <v/>
      </c>
      <c r="N146" s="72" t="str">
        <f>IF(A146="","",IF(A146&lt;='Dados de entrada'!$E$2,'Dados de entrada'!$E$13*'Dados de entrada'!$E$10/'Dados de entrada'!$B$10,'Dados de entrada'!$E$13*'Dados de entrada'!$E$10/'Dados de entrada'!$B$10*(1-'Dados de entrada'!$E$3)))</f>
        <v/>
      </c>
      <c r="O146" s="71" t="str">
        <f>IF(A146="","",IF(AND(A146='Dados de entrada'!$E$2),(O145*(1+'Dados de entrada'!$B$6)-L146)*(1-'Dados de entrada'!$E$3),IF(AND(A146&lt;&gt;'Dados de entrada'!$A$2),O145*(1+'Dados de entrada'!$B$6)^(C146/30)-L146,"")))</f>
        <v/>
      </c>
      <c r="P146" s="71" t="str">
        <f>IF(A146="","",(O145*((1+'Dados de entrada'!$B$6)^(-DAYS360(B146,B145)/30)-1)-O145*((1+'Dados de entrada'!$H$10)^(-DAYS360(B146,B145)/360)-1))*4.65%)</f>
        <v/>
      </c>
      <c r="Q146" s="75" t="str">
        <f>IF(E146&lt;&gt;"",'Dados de entrada'!$H$5-E146*'Dados de entrada'!$H$6,"")</f>
        <v/>
      </c>
      <c r="R146" s="71" t="str">
        <f>IF(A146="","",IF(A146='Dados de entrada'!$E$2,PV('Dados de entrada'!$B$6,'Dados de entrada'!$B$10-'Dados de entrada'!$E$2+1,+L146*(-'Dados de entrada'!$E$3),,1)+L146*(1-'Dados de entrada'!$E$3)-M146-N146-P146-Q146,L146-M146-N146-P146-Q146))</f>
        <v/>
      </c>
      <c r="S146" s="74" t="str">
        <f t="shared" si="43"/>
        <v/>
      </c>
      <c r="T146" s="67" t="str">
        <f>IF(E146&lt;&gt;"",(-E146)/((1+'Dados de entrada'!$B$6)^(S146/30)),"")</f>
        <v/>
      </c>
      <c r="U146" s="67" t="str">
        <f t="shared" si="44"/>
        <v/>
      </c>
      <c r="V146" s="71" t="str">
        <f>IF(F146="","",-'Dados de entrada'!$B$2)</f>
        <v/>
      </c>
      <c r="X146" s="93">
        <f>+Resumo!$E$12-Resumo!$E$20</f>
        <v>0</v>
      </c>
      <c r="Y146" s="116">
        <f t="shared" si="55"/>
        <v>50563</v>
      </c>
      <c r="Z146" s="81">
        <v>30</v>
      </c>
      <c r="AA146" s="81">
        <f t="shared" ca="1" si="53"/>
        <v>4288</v>
      </c>
      <c r="AB146" s="93">
        <f>IF(A146&lt;='Dados de entrada'!$B$18,'Dados de entrada'!$B$20,0)</f>
        <v>0</v>
      </c>
      <c r="AC146" s="93">
        <f>IF(OR(Resumo!$E$23&gt;0,Resumo!$E$28&gt;0,Resumo!$E$33&gt;0),IF(AND(A146&gt;'Dados de entrada'!$B$18,A146&lt;='Dados de entrada'!$B$10),'Dados de entrada'!$B$21,0),IF(AND(A146&gt;'Dados de entrada'!$B$18,A146&lt;='Dados de entrada'!$B$10),'Dados de entrada'!$B$21,IF(A146&lt;='Dados de entrada'!$B$18,X146,0)))</f>
        <v>0</v>
      </c>
      <c r="AD146" s="93">
        <f ca="1">AC146/((1+'Dados de entrada'!$D$22)^($AA146/360))</f>
        <v>0</v>
      </c>
      <c r="AE146" s="93">
        <f>IF(A146&lt;='Dados de entrada'!$B$27,'Dados de entrada'!$B$29,0)</f>
        <v>0</v>
      </c>
      <c r="AF146" s="93">
        <f>IF(AND(A146&gt;'Dados de entrada'!$B$27,A146&lt;='Dados de entrada'!$B$10),'Dados de entrada'!$B$30,0)</f>
        <v>0</v>
      </c>
      <c r="AG146" s="93">
        <f ca="1">AF146/((1+'Dados de entrada'!$D$31)^($AA146/360))</f>
        <v>0</v>
      </c>
      <c r="AH146" s="93">
        <f>IF(A146&lt;='Dados de entrada'!$B$36,'Dados de entrada'!$B$38,0)</f>
        <v>0</v>
      </c>
      <c r="AI146" s="93">
        <f>IF(AND(A146&gt;'Dados de entrada'!$B$36,A146&lt;='Dados de entrada'!$B$10),'Dados de entrada'!$B$39,0)</f>
        <v>0</v>
      </c>
      <c r="AJ146" s="93">
        <f ca="1">AI146/((1+'Dados de entrada'!$D$40)^($AA146/360))</f>
        <v>0</v>
      </c>
      <c r="AK146" s="93">
        <f>IF(A146&lt;='Dados de entrada'!$B$45,'Dados de entrada'!$B$47,0)</f>
        <v>0</v>
      </c>
      <c r="AL146" s="93">
        <f>IF(AND(A146&gt;'Dados de entrada'!$B$45,A146&lt;='Dados de entrada'!$B$10),'Dados de entrada'!$B$48,0)</f>
        <v>0</v>
      </c>
      <c r="AM146" s="93">
        <f ca="1">AL146/((1+'Dados de entrada'!$D$49)^($AA146/360))</f>
        <v>0</v>
      </c>
      <c r="AN146" s="85">
        <f t="shared" si="54"/>
        <v>0</v>
      </c>
    </row>
    <row r="147" spans="1:40" ht="15.75" thickBot="1">
      <c r="A147" s="69" t="str">
        <f>IF(A146="","",IF(A146+1&lt;='Dados de entrada'!$B$10,A146+1,""))</f>
        <v/>
      </c>
      <c r="B147" s="70" t="str">
        <f t="shared" si="45"/>
        <v/>
      </c>
      <c r="C147" s="69" t="str">
        <f t="shared" si="46"/>
        <v/>
      </c>
      <c r="D147" s="71" t="str">
        <f>IF(A147="","",F146*(1+'Dados de entrada'!$B$6)^(C147/30))</f>
        <v/>
      </c>
      <c r="E147" s="71" t="str">
        <f>IF(A147="","",-'Dados de entrada'!$J$20)</f>
        <v/>
      </c>
      <c r="F147" s="71" t="str">
        <f t="shared" si="47"/>
        <v/>
      </c>
      <c r="G147" s="71" t="str">
        <f t="shared" si="48"/>
        <v/>
      </c>
      <c r="H147" s="69" t="str">
        <f t="shared" si="49"/>
        <v/>
      </c>
      <c r="I147" s="71" t="str">
        <f>IF(A147="","",MIN(H147,365)*G147*'Dados de entrada'!$B$11+G147*'Dados de entrada'!$B$12)</f>
        <v/>
      </c>
      <c r="J147" s="71" t="str">
        <f t="shared" si="50"/>
        <v/>
      </c>
      <c r="K147" s="71" t="str">
        <f t="shared" si="51"/>
        <v/>
      </c>
      <c r="L147" s="72" t="str">
        <f>IF(A147="","",IF(A147&lt;='Dados de entrada'!$J$2,-V146,-V146*(1-'Dados de entrada'!$J$3)))</f>
        <v/>
      </c>
      <c r="M147" s="72" t="str">
        <f>IF(A147="","",L147*'Dados de entrada'!$E$4)</f>
        <v/>
      </c>
      <c r="N147" s="72" t="str">
        <f>IF(A147="","",IF(A147&lt;='Dados de entrada'!$E$2,'Dados de entrada'!$E$13*'Dados de entrada'!$E$10/'Dados de entrada'!$B$10,'Dados de entrada'!$E$13*'Dados de entrada'!$E$10/'Dados de entrada'!$B$10*(1-'Dados de entrada'!$E$3)))</f>
        <v/>
      </c>
      <c r="O147" s="71" t="str">
        <f>IF(A147="","",IF(AND(A147='Dados de entrada'!$E$2),(O146*(1+'Dados de entrada'!$B$6)-L147)*(1-'Dados de entrada'!$E$3),IF(AND(A147&lt;&gt;'Dados de entrada'!$A$2),O146*(1+'Dados de entrada'!$B$6)^(C147/30)-L147,"")))</f>
        <v/>
      </c>
      <c r="P147" s="71" t="str">
        <f>IF(A147="","",(O146*((1+'Dados de entrada'!$B$6)^(-DAYS360(B147,B146)/30)-1)-O146*((1+'Dados de entrada'!$H$10)^(-DAYS360(B147,B146)/360)-1))*4.65%)</f>
        <v/>
      </c>
      <c r="Q147" s="75" t="str">
        <f>IF(E147&lt;&gt;"",'Dados de entrada'!$H$5-E147*'Dados de entrada'!$H$6,"")</f>
        <v/>
      </c>
      <c r="R147" s="71" t="str">
        <f>IF(A147="","",IF(A147='Dados de entrada'!$E$2,PV('Dados de entrada'!$B$6,'Dados de entrada'!$B$10-'Dados de entrada'!$E$2+1,+L147*(-'Dados de entrada'!$E$3),,1)+L147*(1-'Dados de entrada'!$E$3)-M147-N147-P147-Q147,L147-M147-N147-P147-Q147))</f>
        <v/>
      </c>
      <c r="S147" s="74" t="str">
        <f t="shared" si="43"/>
        <v/>
      </c>
      <c r="T147" s="67" t="str">
        <f>IF(E147&lt;&gt;"",(-E147)/((1+'Dados de entrada'!$B$6)^(S147/30)),"")</f>
        <v/>
      </c>
      <c r="U147" s="67" t="str">
        <f t="shared" si="44"/>
        <v/>
      </c>
      <c r="V147" s="71" t="str">
        <f>IF(F147="","",-'Dados de entrada'!$B$2)</f>
        <v/>
      </c>
      <c r="X147" s="93">
        <f>+Resumo!$E$12-Resumo!$E$20</f>
        <v>0</v>
      </c>
      <c r="Y147" s="116">
        <f t="shared" si="55"/>
        <v>50593</v>
      </c>
      <c r="Z147" s="81">
        <v>30</v>
      </c>
      <c r="AA147" s="81">
        <f t="shared" ca="1" si="53"/>
        <v>4318</v>
      </c>
      <c r="AB147" s="93">
        <f>IF(A147&lt;='Dados de entrada'!$B$18,'Dados de entrada'!$B$20,0)</f>
        <v>0</v>
      </c>
      <c r="AC147" s="93">
        <f>IF(OR(Resumo!$E$23&gt;0,Resumo!$E$28&gt;0,Resumo!$E$33&gt;0),IF(AND(A147&gt;'Dados de entrada'!$B$18,A147&lt;='Dados de entrada'!$B$10),'Dados de entrada'!$B$21,0),IF(AND(A147&gt;'Dados de entrada'!$B$18,A147&lt;='Dados de entrada'!$B$10),'Dados de entrada'!$B$21,IF(A147&lt;='Dados de entrada'!$B$18,X147,0)))</f>
        <v>0</v>
      </c>
      <c r="AD147" s="93">
        <f ca="1">AC147/((1+'Dados de entrada'!$D$22)^($AA147/360))</f>
        <v>0</v>
      </c>
      <c r="AE147" s="93">
        <f>IF(A147&lt;='Dados de entrada'!$B$27,'Dados de entrada'!$B$29,0)</f>
        <v>0</v>
      </c>
      <c r="AF147" s="93">
        <f>IF(AND(A147&gt;'Dados de entrada'!$B$27,A147&lt;='Dados de entrada'!$B$10),'Dados de entrada'!$B$30,0)</f>
        <v>0</v>
      </c>
      <c r="AG147" s="93">
        <f ca="1">AF147/((1+'Dados de entrada'!$D$31)^($AA147/360))</f>
        <v>0</v>
      </c>
      <c r="AH147" s="93">
        <f>IF(A147&lt;='Dados de entrada'!$B$36,'Dados de entrada'!$B$38,0)</f>
        <v>0</v>
      </c>
      <c r="AI147" s="93">
        <f>IF(AND(A147&gt;'Dados de entrada'!$B$36,A147&lt;='Dados de entrada'!$B$10),'Dados de entrada'!$B$39,0)</f>
        <v>0</v>
      </c>
      <c r="AJ147" s="93">
        <f ca="1">AI147/((1+'Dados de entrada'!$D$40)^($AA147/360))</f>
        <v>0</v>
      </c>
      <c r="AK147" s="93">
        <f>IF(A147&lt;='Dados de entrada'!$B$45,'Dados de entrada'!$B$47,0)</f>
        <v>0</v>
      </c>
      <c r="AL147" s="93">
        <f>IF(AND(A147&gt;'Dados de entrada'!$B$45,A147&lt;='Dados de entrada'!$B$10),'Dados de entrada'!$B$48,0)</f>
        <v>0</v>
      </c>
      <c r="AM147" s="93">
        <f ca="1">AL147/((1+'Dados de entrada'!$D$49)^($AA147/360))</f>
        <v>0</v>
      </c>
      <c r="AN147" s="89">
        <f t="shared" si="54"/>
        <v>0</v>
      </c>
    </row>
  </sheetData>
  <mergeCells count="5">
    <mergeCell ref="AB1:AD1"/>
    <mergeCell ref="AE1:AG1"/>
    <mergeCell ref="AW1:AX1"/>
    <mergeCell ref="AH1:AJ1"/>
    <mergeCell ref="AK1:AM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6714-346B-9149-971D-F5BA20496D1D}">
  <sheetPr codeName="Planilha6"/>
  <dimension ref="A1:R130"/>
  <sheetViews>
    <sheetView showGridLines="0" zoomScale="140" zoomScaleNormal="140" workbookViewId="0">
      <selection activeCell="A6" sqref="A6"/>
    </sheetView>
  </sheetViews>
  <sheetFormatPr defaultColWidth="11.42578125" defaultRowHeight="15"/>
  <cols>
    <col min="1" max="1" width="15.85546875" bestFit="1" customWidth="1"/>
    <col min="2" max="2" width="10.85546875" style="81"/>
    <col min="3" max="3" width="5.7109375" customWidth="1"/>
    <col min="4" max="4" width="15.85546875" bestFit="1" customWidth="1"/>
    <col min="5" max="5" width="15.85546875" customWidth="1"/>
    <col min="6" max="6" width="13.42578125" style="81" bestFit="1" customWidth="1"/>
    <col min="7" max="7" width="17" style="81" bestFit="1" customWidth="1"/>
    <col min="8" max="8" width="13.140625" style="81" customWidth="1"/>
    <col min="9" max="9" width="5.140625" customWidth="1"/>
    <col min="10" max="10" width="12.7109375" style="81" customWidth="1"/>
    <col min="11" max="11" width="15.85546875" bestFit="1" customWidth="1"/>
    <col min="13" max="13" width="10.85546875" style="81"/>
    <col min="15" max="15" width="4" customWidth="1"/>
    <col min="16" max="16" width="15.85546875" bestFit="1" customWidth="1"/>
    <col min="18" max="18" width="13.42578125" bestFit="1" customWidth="1"/>
  </cols>
  <sheetData>
    <row r="1" spans="1:18">
      <c r="A1" s="124" t="s">
        <v>142</v>
      </c>
      <c r="B1" s="154"/>
      <c r="D1" s="123" t="s">
        <v>142</v>
      </c>
      <c r="E1" s="123" t="s">
        <v>202</v>
      </c>
      <c r="F1" s="123" t="s">
        <v>138</v>
      </c>
      <c r="G1" s="123" t="s">
        <v>144</v>
      </c>
      <c r="H1" s="123" t="s">
        <v>147</v>
      </c>
      <c r="J1" s="122" t="s">
        <v>28</v>
      </c>
      <c r="K1" s="120" t="str">
        <f>+Resumo!E4</f>
        <v>Siape</v>
      </c>
      <c r="M1" s="123" t="s">
        <v>193</v>
      </c>
      <c r="N1" s="123" t="s">
        <v>194</v>
      </c>
      <c r="P1" s="123" t="s">
        <v>142</v>
      </c>
      <c r="Q1" s="123" t="s">
        <v>201</v>
      </c>
      <c r="R1" s="123" t="s">
        <v>193</v>
      </c>
    </row>
    <row r="2" spans="1:18">
      <c r="A2" t="s">
        <v>29</v>
      </c>
      <c r="B2" s="119"/>
      <c r="D2" t="s">
        <v>181</v>
      </c>
      <c r="E2" t="s">
        <v>203</v>
      </c>
      <c r="F2" s="81" t="s">
        <v>139</v>
      </c>
      <c r="G2" s="119">
        <v>2.2499999999999999E-2</v>
      </c>
      <c r="H2" s="119">
        <v>0.05</v>
      </c>
      <c r="J2" s="122" t="s">
        <v>144</v>
      </c>
      <c r="K2" s="121">
        <f ca="1">+ROUND('Dados de entrada'!B6,4)</f>
        <v>2.52E-2</v>
      </c>
      <c r="M2" s="119">
        <v>5.0000000000000001E-3</v>
      </c>
      <c r="N2" s="81" t="s">
        <v>195</v>
      </c>
      <c r="P2" t="s">
        <v>203</v>
      </c>
      <c r="Q2" s="119">
        <v>2.2499999999999999E-2</v>
      </c>
      <c r="R2" s="119">
        <v>5.0000000000000001E-3</v>
      </c>
    </row>
    <row r="3" spans="1:18">
      <c r="A3" t="s">
        <v>143</v>
      </c>
      <c r="B3" s="119"/>
      <c r="D3" t="s">
        <v>182</v>
      </c>
      <c r="E3" t="s">
        <v>203</v>
      </c>
      <c r="F3" s="81" t="s">
        <v>139</v>
      </c>
      <c r="G3" s="119">
        <v>2.2499999999999999E-2</v>
      </c>
      <c r="H3" s="119">
        <v>0.05</v>
      </c>
      <c r="J3" s="122" t="s">
        <v>138</v>
      </c>
      <c r="K3" s="120" t="str">
        <f>+Resumo!E5</f>
        <v>Refin da Port</v>
      </c>
      <c r="M3" s="144">
        <v>0.01</v>
      </c>
      <c r="N3" s="81" t="s">
        <v>196</v>
      </c>
      <c r="P3" t="s">
        <v>203</v>
      </c>
      <c r="Q3" s="119">
        <v>2.2599999999999999E-2</v>
      </c>
      <c r="R3" s="144">
        <v>0.01</v>
      </c>
    </row>
    <row r="4" spans="1:18">
      <c r="A4" t="s">
        <v>150</v>
      </c>
      <c r="B4" s="119"/>
      <c r="D4" t="s">
        <v>183</v>
      </c>
      <c r="E4" t="s">
        <v>183</v>
      </c>
      <c r="F4" s="81" t="s">
        <v>139</v>
      </c>
      <c r="G4" s="119">
        <v>1.9099999999999999E-2</v>
      </c>
      <c r="H4" s="119">
        <v>0.05</v>
      </c>
      <c r="J4" s="122" t="s">
        <v>145</v>
      </c>
      <c r="K4" s="121">
        <f>IF(Resumo!$E$6="Sim",
  SUMIFS($G:$G,$D:$D,$K$1,$F:$F,$K$3)-0.03%,
  SUMIFS($G:$G,$D:$D,$K$1,$F:$F,$K$3))</f>
        <v>1.67E-2</v>
      </c>
      <c r="M4" s="144">
        <v>1.4999999999999999E-2</v>
      </c>
      <c r="N4" s="81" t="s">
        <v>197</v>
      </c>
      <c r="P4" t="s">
        <v>203</v>
      </c>
      <c r="Q4" s="119">
        <v>2.2800000000000001E-2</v>
      </c>
      <c r="R4" s="119">
        <v>1.4999999999999999E-2</v>
      </c>
    </row>
    <row r="5" spans="1:18">
      <c r="A5" t="s">
        <v>151</v>
      </c>
      <c r="B5" s="119"/>
      <c r="D5" t="s">
        <v>184</v>
      </c>
      <c r="E5" t="str">
        <f>+D5</f>
        <v>Estado MS</v>
      </c>
      <c r="F5" s="81" t="s">
        <v>139</v>
      </c>
      <c r="G5" s="119">
        <v>1.8800000000000001E-2</v>
      </c>
      <c r="H5" s="119">
        <v>0.05</v>
      </c>
      <c r="J5" s="122" t="s">
        <v>148</v>
      </c>
      <c r="K5" s="121">
        <f>IF(Resumo!$E$6="Sim",
  SUMIFS($H:$H,$D:$D,$K$1,$F:$F,$K$3)-0.03%,
  SUMIFS($H:$H,$D:$D,$K$1,$F:$F,$K$3))</f>
        <v>1.7999999999999999E-2</v>
      </c>
      <c r="M5" s="144">
        <v>0.02</v>
      </c>
      <c r="N5" s="81" t="s">
        <v>198</v>
      </c>
      <c r="P5" t="s">
        <v>203</v>
      </c>
      <c r="Q5" s="119">
        <v>2.29E-2</v>
      </c>
      <c r="R5" s="119">
        <v>0.02</v>
      </c>
    </row>
    <row r="6" spans="1:18">
      <c r="A6" t="s">
        <v>152</v>
      </c>
      <c r="B6" s="119"/>
      <c r="D6" t="s">
        <v>185</v>
      </c>
      <c r="E6" t="str">
        <f>+D6</f>
        <v>Estado SC</v>
      </c>
      <c r="F6" s="81" t="s">
        <v>139</v>
      </c>
      <c r="G6" s="119">
        <v>0.02</v>
      </c>
      <c r="H6" s="119">
        <v>0.05</v>
      </c>
      <c r="J6" s="122" t="s">
        <v>146</v>
      </c>
      <c r="K6" s="120" t="str">
        <f ca="1">+IF(AND(K2&gt;=K4,K2&lt;=K5),"Favorável","Não Favorável")</f>
        <v>Não Favorável</v>
      </c>
      <c r="M6" s="144">
        <v>2.5000000000000001E-2</v>
      </c>
      <c r="N6" s="81" t="s">
        <v>199</v>
      </c>
      <c r="P6" t="s">
        <v>203</v>
      </c>
      <c r="Q6" s="119">
        <v>2.3E-2</v>
      </c>
      <c r="R6" s="119">
        <v>2.5000000000000001E-2</v>
      </c>
    </row>
    <row r="7" spans="1:18">
      <c r="A7" t="s">
        <v>181</v>
      </c>
      <c r="D7" t="s">
        <v>186</v>
      </c>
      <c r="E7" t="str">
        <f>+D7</f>
        <v>Grupo I Governos</v>
      </c>
      <c r="F7" s="81" t="s">
        <v>139</v>
      </c>
      <c r="G7" s="119">
        <v>2.1899999999999999E-2</v>
      </c>
      <c r="H7" s="119">
        <v>0.05</v>
      </c>
      <c r="M7" s="144">
        <v>0.03</v>
      </c>
      <c r="N7" s="81" t="s">
        <v>200</v>
      </c>
      <c r="P7" t="s">
        <v>203</v>
      </c>
      <c r="Q7" s="119">
        <v>2.3199999999999998E-2</v>
      </c>
      <c r="R7" s="144">
        <v>0.03</v>
      </c>
    </row>
    <row r="8" spans="1:18">
      <c r="A8" t="s">
        <v>182</v>
      </c>
      <c r="D8" t="s">
        <v>152</v>
      </c>
      <c r="E8" t="str">
        <f>+D8</f>
        <v>Grupo II Prefeituras</v>
      </c>
      <c r="F8" s="81" t="s">
        <v>139</v>
      </c>
      <c r="G8" s="119">
        <v>2.12E-2</v>
      </c>
      <c r="H8" s="119">
        <v>0.05</v>
      </c>
      <c r="M8" s="144"/>
      <c r="N8" s="81"/>
      <c r="P8" t="s">
        <v>203</v>
      </c>
      <c r="Q8" s="119">
        <v>0.05</v>
      </c>
      <c r="R8" s="144">
        <v>0.03</v>
      </c>
    </row>
    <row r="9" spans="1:18">
      <c r="A9" t="s">
        <v>183</v>
      </c>
      <c r="D9" t="s">
        <v>29</v>
      </c>
      <c r="E9" t="str">
        <f>+D9</f>
        <v>INSS</v>
      </c>
      <c r="F9" s="81" t="s">
        <v>139</v>
      </c>
      <c r="G9" s="119">
        <v>1.78E-2</v>
      </c>
      <c r="H9" s="119">
        <v>1.8499999999999999E-2</v>
      </c>
      <c r="M9" s="144"/>
      <c r="P9" t="s">
        <v>152</v>
      </c>
      <c r="Q9" s="119">
        <v>2.12E-2</v>
      </c>
      <c r="R9" s="119">
        <v>5.0000000000000001E-3</v>
      </c>
    </row>
    <row r="10" spans="1:18">
      <c r="A10" t="s">
        <v>184</v>
      </c>
      <c r="D10" t="s">
        <v>187</v>
      </c>
      <c r="E10" t="s">
        <v>203</v>
      </c>
      <c r="F10" s="81" t="s">
        <v>139</v>
      </c>
      <c r="G10" s="119">
        <v>2.2499999999999999E-2</v>
      </c>
      <c r="H10" s="119">
        <v>0.05</v>
      </c>
      <c r="P10" t="s">
        <v>152</v>
      </c>
      <c r="Q10" s="119">
        <v>2.1399999999999999E-2</v>
      </c>
      <c r="R10" s="144">
        <v>0.01</v>
      </c>
    </row>
    <row r="11" spans="1:18">
      <c r="A11" t="s">
        <v>185</v>
      </c>
      <c r="D11" t="s">
        <v>188</v>
      </c>
      <c r="E11" t="s">
        <v>203</v>
      </c>
      <c r="F11" s="81" t="s">
        <v>139</v>
      </c>
      <c r="G11" s="119">
        <v>2.2499999999999999E-2</v>
      </c>
      <c r="H11" s="119">
        <v>0.05</v>
      </c>
      <c r="P11" t="s">
        <v>152</v>
      </c>
      <c r="Q11" s="119">
        <v>2.1499999999999998E-2</v>
      </c>
      <c r="R11" s="119">
        <v>1.4999999999999999E-2</v>
      </c>
    </row>
    <row r="12" spans="1:18">
      <c r="A12" t="s">
        <v>186</v>
      </c>
      <c r="D12" t="s">
        <v>143</v>
      </c>
      <c r="E12" t="str">
        <f>+D12</f>
        <v>Pref. Contagem</v>
      </c>
      <c r="F12" s="81" t="s">
        <v>139</v>
      </c>
      <c r="G12" s="119">
        <v>1.9699999999999999E-2</v>
      </c>
      <c r="H12" s="119">
        <v>0.05</v>
      </c>
      <c r="P12" t="s">
        <v>152</v>
      </c>
      <c r="Q12" s="119">
        <v>2.1700000000000001E-2</v>
      </c>
      <c r="R12" s="119">
        <v>0.02</v>
      </c>
    </row>
    <row r="13" spans="1:18">
      <c r="A13" t="s">
        <v>187</v>
      </c>
      <c r="D13" t="s">
        <v>151</v>
      </c>
      <c r="E13" t="str">
        <f>+D13</f>
        <v>Pref. Goiânia</v>
      </c>
      <c r="F13" s="81" t="s">
        <v>139</v>
      </c>
      <c r="G13" s="119">
        <v>2.0400000000000001E-2</v>
      </c>
      <c r="H13" s="119">
        <v>0.05</v>
      </c>
      <c r="P13" t="s">
        <v>152</v>
      </c>
      <c r="Q13" s="119">
        <v>2.1899999999999999E-2</v>
      </c>
      <c r="R13" s="119">
        <v>2.5000000000000001E-2</v>
      </c>
    </row>
    <row r="14" spans="1:18">
      <c r="A14" t="s">
        <v>188</v>
      </c>
      <c r="D14" t="s">
        <v>150</v>
      </c>
      <c r="E14" t="str">
        <f>+D14</f>
        <v>Pref. SP</v>
      </c>
      <c r="F14" s="81" t="s">
        <v>139</v>
      </c>
      <c r="G14" s="119">
        <v>1.7600000000000001E-2</v>
      </c>
      <c r="H14" s="119">
        <v>0.05</v>
      </c>
      <c r="P14" t="s">
        <v>152</v>
      </c>
      <c r="Q14" s="119">
        <v>2.1999999999999999E-2</v>
      </c>
      <c r="R14" s="144">
        <v>0.03</v>
      </c>
    </row>
    <row r="15" spans="1:18">
      <c r="A15" t="s">
        <v>189</v>
      </c>
      <c r="D15" t="s">
        <v>190</v>
      </c>
      <c r="E15" t="s">
        <v>203</v>
      </c>
      <c r="F15" s="81" t="s">
        <v>139</v>
      </c>
      <c r="G15" s="119">
        <v>2.2499999999999999E-2</v>
      </c>
      <c r="H15" s="119">
        <v>0.05</v>
      </c>
      <c r="P15" t="s">
        <v>152</v>
      </c>
      <c r="Q15" s="119">
        <v>0.05</v>
      </c>
      <c r="R15" s="144">
        <v>0.03</v>
      </c>
    </row>
    <row r="16" spans="1:18">
      <c r="A16" t="s">
        <v>190</v>
      </c>
      <c r="D16" t="s">
        <v>191</v>
      </c>
      <c r="E16" t="str">
        <f>+D16</f>
        <v>Tribunais Estaduais</v>
      </c>
      <c r="F16" s="81" t="s">
        <v>139</v>
      </c>
      <c r="G16" s="119">
        <v>1.9199999999999998E-2</v>
      </c>
      <c r="H16" s="119">
        <v>0.05</v>
      </c>
      <c r="P16" t="s">
        <v>29</v>
      </c>
      <c r="Q16" s="119">
        <v>1.78E-2</v>
      </c>
      <c r="R16" s="119">
        <v>5.0000000000000001E-3</v>
      </c>
    </row>
    <row r="17" spans="1:18">
      <c r="A17" t="s">
        <v>191</v>
      </c>
      <c r="D17" t="s">
        <v>204</v>
      </c>
      <c r="E17" t="str">
        <f>+D17</f>
        <v>SPPrev</v>
      </c>
      <c r="F17" s="81" t="s">
        <v>139</v>
      </c>
      <c r="G17" s="119">
        <v>1.7399999999999999E-2</v>
      </c>
      <c r="H17" s="119">
        <v>0.05</v>
      </c>
      <c r="P17" t="s">
        <v>29</v>
      </c>
      <c r="Q17" s="119">
        <v>1.7899999999999999E-2</v>
      </c>
      <c r="R17" s="119">
        <v>0.01</v>
      </c>
    </row>
    <row r="18" spans="1:18">
      <c r="A18" t="s">
        <v>204</v>
      </c>
      <c r="D18" t="s">
        <v>189</v>
      </c>
      <c r="E18" t="s">
        <v>189</v>
      </c>
      <c r="F18" s="81" t="s">
        <v>139</v>
      </c>
      <c r="G18" s="119">
        <v>2.1700000000000001E-2</v>
      </c>
      <c r="H18" s="119">
        <v>0.05</v>
      </c>
      <c r="P18" t="s">
        <v>29</v>
      </c>
      <c r="Q18" s="119">
        <v>1.8100000000000002E-2</v>
      </c>
      <c r="R18" s="119">
        <v>1.4999999999999999E-2</v>
      </c>
    </row>
    <row r="19" spans="1:18">
      <c r="A19" t="s">
        <v>279</v>
      </c>
      <c r="D19" t="s">
        <v>279</v>
      </c>
      <c r="E19" t="s">
        <v>279</v>
      </c>
      <c r="F19" s="81" t="s">
        <v>139</v>
      </c>
      <c r="G19" s="119">
        <v>1.67E-2</v>
      </c>
      <c r="H19" s="119">
        <v>1.7999999999999999E-2</v>
      </c>
      <c r="P19" t="s">
        <v>29</v>
      </c>
      <c r="Q19" s="119">
        <v>1.8200000000000001E-2</v>
      </c>
      <c r="R19" s="119">
        <v>0.02</v>
      </c>
    </row>
    <row r="20" spans="1:18">
      <c r="A20" t="s">
        <v>74</v>
      </c>
      <c r="D20" t="s">
        <v>74</v>
      </c>
      <c r="E20" t="s">
        <v>74</v>
      </c>
      <c r="F20" s="81" t="s">
        <v>139</v>
      </c>
      <c r="G20" s="119">
        <v>1.9300000000000001E-2</v>
      </c>
      <c r="H20" s="119">
        <v>0.05</v>
      </c>
      <c r="P20" t="s">
        <v>29</v>
      </c>
      <c r="Q20" s="119">
        <v>1.83E-2</v>
      </c>
      <c r="R20" s="119">
        <v>2.5000000000000001E-2</v>
      </c>
    </row>
    <row r="21" spans="1:18">
      <c r="A21" t="s">
        <v>78</v>
      </c>
      <c r="D21" t="s">
        <v>78</v>
      </c>
      <c r="E21" t="s">
        <v>78</v>
      </c>
      <c r="F21" s="81" t="s">
        <v>139</v>
      </c>
      <c r="G21" s="119">
        <v>1.8800000000000001E-2</v>
      </c>
      <c r="H21" s="119">
        <v>2.0400000000000001E-2</v>
      </c>
      <c r="P21" t="s">
        <v>29</v>
      </c>
      <c r="Q21" s="119">
        <v>1.8499999999999999E-2</v>
      </c>
      <c r="R21" s="119">
        <v>0.03</v>
      </c>
    </row>
    <row r="22" spans="1:18">
      <c r="A22" t="s">
        <v>280</v>
      </c>
      <c r="D22" t="s">
        <v>280</v>
      </c>
      <c r="E22" t="s">
        <v>280</v>
      </c>
      <c r="F22" s="81" t="s">
        <v>139</v>
      </c>
      <c r="G22" s="119">
        <v>1.7600000000000001E-2</v>
      </c>
      <c r="H22" s="119">
        <v>2.0400000000000001E-2</v>
      </c>
      <c r="P22" t="s">
        <v>29</v>
      </c>
      <c r="Q22" s="119">
        <v>0.05</v>
      </c>
      <c r="R22" s="119">
        <v>0.03</v>
      </c>
    </row>
    <row r="23" spans="1:18">
      <c r="A23" t="s">
        <v>281</v>
      </c>
      <c r="D23" t="s">
        <v>281</v>
      </c>
      <c r="E23" t="s">
        <v>281</v>
      </c>
      <c r="F23" s="81" t="s">
        <v>139</v>
      </c>
      <c r="G23" s="119">
        <v>2.01E-2</v>
      </c>
      <c r="H23" s="119">
        <v>0.05</v>
      </c>
      <c r="P23" t="s">
        <v>143</v>
      </c>
      <c r="Q23" s="119">
        <v>1.9699999999999999E-2</v>
      </c>
      <c r="R23" s="119">
        <v>5.0000000000000001E-3</v>
      </c>
    </row>
    <row r="24" spans="1:18">
      <c r="G24" s="119"/>
      <c r="H24" s="119"/>
      <c r="P24" t="s">
        <v>143</v>
      </c>
      <c r="Q24" s="119">
        <v>1.9800000000000002E-2</v>
      </c>
      <c r="R24" s="119">
        <v>0.01</v>
      </c>
    </row>
    <row r="25" spans="1:18">
      <c r="G25" s="119"/>
      <c r="H25" s="119"/>
      <c r="P25" t="s">
        <v>143</v>
      </c>
      <c r="Q25" s="119">
        <v>0.02</v>
      </c>
      <c r="R25" s="119">
        <v>1.4999999999999999E-2</v>
      </c>
    </row>
    <row r="26" spans="1:18">
      <c r="G26" s="119"/>
      <c r="H26" s="119"/>
      <c r="P26" t="s">
        <v>143</v>
      </c>
      <c r="Q26" s="119">
        <v>2.01E-2</v>
      </c>
      <c r="R26" s="119">
        <v>0.02</v>
      </c>
    </row>
    <row r="27" spans="1:18">
      <c r="G27" s="119"/>
      <c r="H27" s="119"/>
      <c r="P27" t="s">
        <v>143</v>
      </c>
      <c r="Q27" s="119">
        <v>2.0299999999999999E-2</v>
      </c>
      <c r="R27" s="119">
        <v>2.5000000000000001E-2</v>
      </c>
    </row>
    <row r="28" spans="1:18">
      <c r="P28" t="s">
        <v>143</v>
      </c>
      <c r="Q28" s="119">
        <v>2.0500000000000001E-2</v>
      </c>
      <c r="R28" s="119">
        <v>0.03</v>
      </c>
    </row>
    <row r="29" spans="1:18">
      <c r="P29" t="s">
        <v>143</v>
      </c>
      <c r="Q29" s="119">
        <v>0.05</v>
      </c>
      <c r="R29" s="144">
        <v>0.03</v>
      </c>
    </row>
    <row r="30" spans="1:18">
      <c r="P30" t="s">
        <v>151</v>
      </c>
      <c r="Q30" s="119">
        <v>2.0400000000000001E-2</v>
      </c>
      <c r="R30" s="119">
        <v>5.0000000000000001E-3</v>
      </c>
    </row>
    <row r="31" spans="1:18">
      <c r="P31" t="s">
        <v>151</v>
      </c>
      <c r="Q31" s="119">
        <v>2.06E-2</v>
      </c>
      <c r="R31" s="119">
        <v>0.01</v>
      </c>
    </row>
    <row r="32" spans="1:18">
      <c r="P32" t="s">
        <v>151</v>
      </c>
      <c r="Q32" s="119">
        <v>2.0799999999999999E-2</v>
      </c>
      <c r="R32" s="119">
        <v>1.4999999999999999E-2</v>
      </c>
    </row>
    <row r="33" spans="16:18">
      <c r="P33" t="s">
        <v>151</v>
      </c>
      <c r="Q33" s="119">
        <v>2.0899999999999998E-2</v>
      </c>
      <c r="R33" s="119">
        <v>0.02</v>
      </c>
    </row>
    <row r="34" spans="16:18">
      <c r="P34" t="s">
        <v>151</v>
      </c>
      <c r="Q34" s="119">
        <v>2.1100000000000001E-2</v>
      </c>
      <c r="R34" s="119">
        <v>2.5000000000000001E-2</v>
      </c>
    </row>
    <row r="35" spans="16:18">
      <c r="P35" t="s">
        <v>151</v>
      </c>
      <c r="Q35" s="119">
        <v>2.1299999999999999E-2</v>
      </c>
      <c r="R35" s="119">
        <v>0.03</v>
      </c>
    </row>
    <row r="36" spans="16:18">
      <c r="P36" t="s">
        <v>151</v>
      </c>
      <c r="Q36" s="119">
        <v>0.05</v>
      </c>
      <c r="R36" s="144">
        <v>0.03</v>
      </c>
    </row>
    <row r="37" spans="16:18">
      <c r="P37" t="s">
        <v>150</v>
      </c>
      <c r="Q37" s="119">
        <v>1.7600000000000001E-2</v>
      </c>
      <c r="R37" s="119">
        <v>5.0000000000000001E-3</v>
      </c>
    </row>
    <row r="38" spans="16:18">
      <c r="P38" t="s">
        <v>150</v>
      </c>
      <c r="Q38" s="119">
        <v>1.77E-2</v>
      </c>
      <c r="R38" s="119">
        <v>0.01</v>
      </c>
    </row>
    <row r="39" spans="16:18">
      <c r="P39" t="s">
        <v>150</v>
      </c>
      <c r="Q39" s="119">
        <v>1.7899999999999999E-2</v>
      </c>
      <c r="R39" s="119">
        <v>1.4999999999999999E-2</v>
      </c>
    </row>
    <row r="40" spans="16:18">
      <c r="P40" t="s">
        <v>150</v>
      </c>
      <c r="Q40" s="119">
        <v>1.7999999999999999E-2</v>
      </c>
      <c r="R40" s="119">
        <v>0.02</v>
      </c>
    </row>
    <row r="41" spans="16:18">
      <c r="P41" t="s">
        <v>150</v>
      </c>
      <c r="Q41" s="119">
        <v>1.8200000000000001E-2</v>
      </c>
      <c r="R41" s="119">
        <v>2.5000000000000001E-2</v>
      </c>
    </row>
    <row r="42" spans="16:18">
      <c r="P42" t="s">
        <v>150</v>
      </c>
      <c r="Q42" s="119">
        <v>1.83E-2</v>
      </c>
      <c r="R42" s="119">
        <v>0.03</v>
      </c>
    </row>
    <row r="43" spans="16:18">
      <c r="P43" t="s">
        <v>150</v>
      </c>
      <c r="Q43" s="119">
        <v>0.05</v>
      </c>
      <c r="R43" s="144">
        <v>0.03</v>
      </c>
    </row>
    <row r="44" spans="16:18">
      <c r="P44" t="s">
        <v>204</v>
      </c>
      <c r="Q44" s="119">
        <v>1.7399999999999999E-2</v>
      </c>
      <c r="R44" s="119">
        <v>5.0000000000000001E-3</v>
      </c>
    </row>
    <row r="45" spans="16:18">
      <c r="P45" t="s">
        <v>204</v>
      </c>
      <c r="Q45" s="119">
        <v>1.7500000000000002E-2</v>
      </c>
      <c r="R45" s="144">
        <v>0.01</v>
      </c>
    </row>
    <row r="46" spans="16:18">
      <c r="P46" t="s">
        <v>204</v>
      </c>
      <c r="Q46" s="119">
        <v>1.77E-2</v>
      </c>
      <c r="R46" s="119">
        <v>1.4999999999999999E-2</v>
      </c>
    </row>
    <row r="47" spans="16:18">
      <c r="P47" t="s">
        <v>204</v>
      </c>
      <c r="Q47" s="119">
        <v>1.78E-2</v>
      </c>
      <c r="R47" s="119">
        <v>0.02</v>
      </c>
    </row>
    <row r="48" spans="16:18">
      <c r="P48" t="s">
        <v>204</v>
      </c>
      <c r="Q48" s="119">
        <v>1.7899999999999999E-2</v>
      </c>
      <c r="R48" s="119">
        <v>2.5000000000000001E-2</v>
      </c>
    </row>
    <row r="49" spans="16:18">
      <c r="P49" t="s">
        <v>204</v>
      </c>
      <c r="Q49" s="119">
        <v>1.8100000000000002E-2</v>
      </c>
      <c r="R49" s="144">
        <v>0.03</v>
      </c>
    </row>
    <row r="50" spans="16:18">
      <c r="P50" t="s">
        <v>204</v>
      </c>
      <c r="Q50" s="119">
        <v>0.05</v>
      </c>
      <c r="R50" s="144">
        <v>0.03</v>
      </c>
    </row>
    <row r="51" spans="16:18">
      <c r="P51" t="s">
        <v>184</v>
      </c>
      <c r="Q51" s="119">
        <v>1.8800000000000001E-2</v>
      </c>
      <c r="R51" s="119">
        <v>5.0000000000000001E-3</v>
      </c>
    </row>
    <row r="52" spans="16:18">
      <c r="P52" t="s">
        <v>184</v>
      </c>
      <c r="Q52" s="119">
        <v>1.89E-2</v>
      </c>
      <c r="R52" s="144">
        <v>0.01</v>
      </c>
    </row>
    <row r="53" spans="16:18">
      <c r="P53" t="s">
        <v>184</v>
      </c>
      <c r="Q53" s="119">
        <v>1.9099999999999999E-2</v>
      </c>
      <c r="R53" s="119">
        <v>1.4999999999999999E-2</v>
      </c>
    </row>
    <row r="54" spans="16:18">
      <c r="P54" t="s">
        <v>184</v>
      </c>
      <c r="Q54" s="119">
        <v>1.9199999999999998E-2</v>
      </c>
      <c r="R54" s="119">
        <v>0.02</v>
      </c>
    </row>
    <row r="55" spans="16:18">
      <c r="P55" t="s">
        <v>184</v>
      </c>
      <c r="Q55" s="119">
        <v>1.9300000000000001E-2</v>
      </c>
      <c r="R55" s="119">
        <v>2.5000000000000001E-2</v>
      </c>
    </row>
    <row r="56" spans="16:18">
      <c r="P56" t="s">
        <v>184</v>
      </c>
      <c r="Q56" s="119">
        <v>1.9400000000000001E-2</v>
      </c>
      <c r="R56" s="144">
        <v>0.03</v>
      </c>
    </row>
    <row r="57" spans="16:18">
      <c r="P57" t="s">
        <v>184</v>
      </c>
      <c r="Q57" s="119">
        <v>0.05</v>
      </c>
      <c r="R57" s="144">
        <v>0.03</v>
      </c>
    </row>
    <row r="58" spans="16:18">
      <c r="P58" t="s">
        <v>183</v>
      </c>
      <c r="Q58" s="119">
        <v>1.9099999999999999E-2</v>
      </c>
      <c r="R58" s="119">
        <v>5.0000000000000001E-3</v>
      </c>
    </row>
    <row r="59" spans="16:18">
      <c r="P59" t="s">
        <v>183</v>
      </c>
      <c r="Q59" s="119">
        <v>1.9199999999999998E-2</v>
      </c>
      <c r="R59" s="144">
        <v>0.01</v>
      </c>
    </row>
    <row r="60" spans="16:18">
      <c r="P60" t="s">
        <v>183</v>
      </c>
      <c r="Q60" s="119">
        <v>1.9300000000000001E-2</v>
      </c>
      <c r="R60" s="119">
        <v>1.4999999999999999E-2</v>
      </c>
    </row>
    <row r="61" spans="16:18">
      <c r="P61" t="s">
        <v>183</v>
      </c>
      <c r="Q61" s="119">
        <v>1.9400000000000001E-2</v>
      </c>
      <c r="R61" s="119">
        <v>0.02</v>
      </c>
    </row>
    <row r="62" spans="16:18">
      <c r="P62" t="s">
        <v>183</v>
      </c>
      <c r="Q62" s="119">
        <v>1.95E-2</v>
      </c>
      <c r="R62" s="119">
        <v>2.5000000000000001E-2</v>
      </c>
    </row>
    <row r="63" spans="16:18">
      <c r="P63" t="s">
        <v>183</v>
      </c>
      <c r="Q63" s="119">
        <v>1.9599999999999999E-2</v>
      </c>
      <c r="R63" s="144">
        <v>0.03</v>
      </c>
    </row>
    <row r="64" spans="16:18">
      <c r="P64" t="s">
        <v>183</v>
      </c>
      <c r="Q64" s="119">
        <v>0.05</v>
      </c>
      <c r="R64" s="144">
        <v>0.03</v>
      </c>
    </row>
    <row r="65" spans="16:18">
      <c r="P65" t="s">
        <v>185</v>
      </c>
      <c r="Q65" s="119">
        <v>0.02</v>
      </c>
      <c r="R65" s="119">
        <v>5.0000000000000001E-3</v>
      </c>
    </row>
    <row r="66" spans="16:18">
      <c r="P66" t="s">
        <v>185</v>
      </c>
      <c r="Q66" s="119">
        <v>2.01E-2</v>
      </c>
      <c r="R66" s="144">
        <v>0.01</v>
      </c>
    </row>
    <row r="67" spans="16:18">
      <c r="P67" t="s">
        <v>185</v>
      </c>
      <c r="Q67" s="119">
        <v>2.0299999999999999E-2</v>
      </c>
      <c r="R67" s="119">
        <v>1.4999999999999999E-2</v>
      </c>
    </row>
    <row r="68" spans="16:18">
      <c r="P68" t="s">
        <v>185</v>
      </c>
      <c r="Q68" s="119">
        <v>2.0400000000000001E-2</v>
      </c>
      <c r="R68" s="119">
        <v>0.02</v>
      </c>
    </row>
    <row r="69" spans="16:18">
      <c r="P69" t="s">
        <v>185</v>
      </c>
      <c r="Q69" s="119">
        <v>2.0500000000000001E-2</v>
      </c>
      <c r="R69" s="119">
        <v>2.5000000000000001E-2</v>
      </c>
    </row>
    <row r="70" spans="16:18">
      <c r="P70" t="s">
        <v>185</v>
      </c>
      <c r="Q70" s="119">
        <v>2.07E-2</v>
      </c>
      <c r="R70" s="144">
        <v>0.03</v>
      </c>
    </row>
    <row r="71" spans="16:18">
      <c r="P71" t="s">
        <v>185</v>
      </c>
      <c r="Q71" s="119">
        <v>0.05</v>
      </c>
      <c r="R71" s="144">
        <v>0.03</v>
      </c>
    </row>
    <row r="72" spans="16:18">
      <c r="P72" t="s">
        <v>186</v>
      </c>
      <c r="Q72" s="119">
        <v>0.02</v>
      </c>
      <c r="R72" s="119">
        <v>5.0000000000000001E-3</v>
      </c>
    </row>
    <row r="73" spans="16:18">
      <c r="P73" t="s">
        <v>186</v>
      </c>
      <c r="Q73" s="119">
        <v>2.01E-2</v>
      </c>
      <c r="R73" s="144">
        <v>0.01</v>
      </c>
    </row>
    <row r="74" spans="16:18">
      <c r="P74" t="s">
        <v>186</v>
      </c>
      <c r="Q74" s="119">
        <v>2.0299999999999999E-2</v>
      </c>
      <c r="R74" s="119">
        <v>1.4999999999999999E-2</v>
      </c>
    </row>
    <row r="75" spans="16:18">
      <c r="P75" t="s">
        <v>186</v>
      </c>
      <c r="Q75" s="119">
        <v>2.0400000000000001E-2</v>
      </c>
      <c r="R75" s="119">
        <v>0.02</v>
      </c>
    </row>
    <row r="76" spans="16:18">
      <c r="P76" t="s">
        <v>186</v>
      </c>
      <c r="Q76" s="119">
        <v>2.0500000000000001E-2</v>
      </c>
      <c r="R76" s="119">
        <v>2.5000000000000001E-2</v>
      </c>
    </row>
    <row r="77" spans="16:18">
      <c r="P77" t="s">
        <v>186</v>
      </c>
      <c r="Q77" s="119">
        <v>2.07E-2</v>
      </c>
      <c r="R77" s="144">
        <v>0.03</v>
      </c>
    </row>
    <row r="78" spans="16:18">
      <c r="P78" t="s">
        <v>186</v>
      </c>
      <c r="Q78" s="119">
        <v>0.05</v>
      </c>
      <c r="R78" s="144">
        <v>0.03</v>
      </c>
    </row>
    <row r="79" spans="16:18">
      <c r="P79" t="s">
        <v>189</v>
      </c>
      <c r="Q79" s="119">
        <v>2.1700000000000001E-2</v>
      </c>
      <c r="R79" s="119">
        <v>5.0000000000000001E-3</v>
      </c>
    </row>
    <row r="80" spans="16:18">
      <c r="P80" t="s">
        <v>189</v>
      </c>
      <c r="Q80" s="119">
        <v>2.1899999999999999E-2</v>
      </c>
      <c r="R80" s="144">
        <v>0.01</v>
      </c>
    </row>
    <row r="81" spans="16:18">
      <c r="P81" t="s">
        <v>189</v>
      </c>
      <c r="Q81" s="119">
        <v>2.1999999999999999E-2</v>
      </c>
      <c r="R81" s="119">
        <v>1.4999999999999999E-2</v>
      </c>
    </row>
    <row r="82" spans="16:18">
      <c r="P82" t="s">
        <v>189</v>
      </c>
      <c r="Q82" s="119">
        <v>2.2100000000000002E-2</v>
      </c>
      <c r="R82" s="119">
        <v>0.02</v>
      </c>
    </row>
    <row r="83" spans="16:18">
      <c r="P83" t="s">
        <v>189</v>
      </c>
      <c r="Q83" s="119">
        <v>2.23E-2</v>
      </c>
      <c r="R83" s="119">
        <v>2.5000000000000001E-2</v>
      </c>
    </row>
    <row r="84" spans="16:18">
      <c r="P84" t="s">
        <v>189</v>
      </c>
      <c r="Q84" s="119">
        <v>2.24E-2</v>
      </c>
      <c r="R84" s="144">
        <v>0.03</v>
      </c>
    </row>
    <row r="85" spans="16:18">
      <c r="P85" t="s">
        <v>189</v>
      </c>
      <c r="Q85" s="119">
        <v>0.05</v>
      </c>
      <c r="R85" s="144">
        <v>0.03</v>
      </c>
    </row>
    <row r="86" spans="16:18">
      <c r="P86" t="s">
        <v>191</v>
      </c>
      <c r="Q86" s="119">
        <v>1.9199999999999998E-2</v>
      </c>
      <c r="R86" s="119">
        <v>5.0000000000000001E-3</v>
      </c>
    </row>
    <row r="87" spans="16:18">
      <c r="P87" t="s">
        <v>191</v>
      </c>
      <c r="Q87" s="119">
        <v>1.9400000000000001E-2</v>
      </c>
      <c r="R87" s="144">
        <v>0.01</v>
      </c>
    </row>
    <row r="88" spans="16:18">
      <c r="P88" t="s">
        <v>191</v>
      </c>
      <c r="Q88" s="119">
        <v>1.95E-2</v>
      </c>
      <c r="R88" s="119">
        <v>1.4999999999999999E-2</v>
      </c>
    </row>
    <row r="89" spans="16:18">
      <c r="P89" t="s">
        <v>191</v>
      </c>
      <c r="Q89" s="119">
        <v>1.9599999999999999E-2</v>
      </c>
      <c r="R89" s="119">
        <v>0.02</v>
      </c>
    </row>
    <row r="90" spans="16:18">
      <c r="P90" t="s">
        <v>191</v>
      </c>
      <c r="Q90" s="119">
        <v>1.9699999999999999E-2</v>
      </c>
      <c r="R90" s="119">
        <v>2.5000000000000001E-2</v>
      </c>
    </row>
    <row r="91" spans="16:18">
      <c r="P91" t="s">
        <v>191</v>
      </c>
      <c r="Q91" s="119">
        <v>1.9900000000000001E-2</v>
      </c>
      <c r="R91" s="144">
        <v>0.03</v>
      </c>
    </row>
    <row r="92" spans="16:18">
      <c r="P92" t="s">
        <v>191</v>
      </c>
      <c r="Q92" s="119">
        <v>0.05</v>
      </c>
      <c r="R92" s="144">
        <v>0.03</v>
      </c>
    </row>
    <row r="93" spans="16:18">
      <c r="P93" t="s">
        <v>279</v>
      </c>
      <c r="Q93" s="119">
        <v>1.6719164483922862E-2</v>
      </c>
      <c r="R93" s="119">
        <v>5.0000000000000001E-3</v>
      </c>
    </row>
    <row r="94" spans="16:18">
      <c r="P94" t="s">
        <v>279</v>
      </c>
      <c r="Q94" s="119">
        <v>1.6817895149469873E-2</v>
      </c>
      <c r="R94" s="119">
        <v>0.01</v>
      </c>
    </row>
    <row r="95" spans="16:18">
      <c r="P95" t="s">
        <v>279</v>
      </c>
      <c r="Q95" s="119">
        <v>1.6916638329319191E-2</v>
      </c>
      <c r="R95" s="119">
        <v>1.4999999999999999E-2</v>
      </c>
    </row>
    <row r="96" spans="16:18">
      <c r="P96" t="s">
        <v>279</v>
      </c>
      <c r="Q96" s="119">
        <v>1.7018361803561401E-2</v>
      </c>
      <c r="R96" s="119">
        <v>0.02</v>
      </c>
    </row>
    <row r="97" spans="16:18">
      <c r="P97" t="s">
        <v>279</v>
      </c>
      <c r="Q97" s="119">
        <v>1.7217549188030423E-2</v>
      </c>
      <c r="R97" s="119">
        <v>2.5000000000000001E-2</v>
      </c>
    </row>
    <row r="98" spans="16:18">
      <c r="P98" t="s">
        <v>279</v>
      </c>
      <c r="Q98" s="119">
        <v>1.7316299200972388E-2</v>
      </c>
      <c r="R98" s="119">
        <v>0.03</v>
      </c>
    </row>
    <row r="99" spans="16:18">
      <c r="P99" t="s">
        <v>279</v>
      </c>
      <c r="Q99" s="119">
        <v>1.7999999999999999E-2</v>
      </c>
      <c r="R99" s="119">
        <v>0.03</v>
      </c>
    </row>
    <row r="100" spans="16:18">
      <c r="P100" t="s">
        <v>279</v>
      </c>
      <c r="Q100" s="119">
        <v>0.05</v>
      </c>
      <c r="R100" s="119">
        <v>0.03</v>
      </c>
    </row>
    <row r="101" spans="16:18">
      <c r="P101" t="s">
        <v>74</v>
      </c>
      <c r="Q101" s="119">
        <v>1.9290326619804243E-2</v>
      </c>
      <c r="R101" s="119">
        <v>5.0000000000000001E-3</v>
      </c>
    </row>
    <row r="102" spans="16:18">
      <c r="P102" t="s">
        <v>74</v>
      </c>
      <c r="Q102" s="119">
        <v>1.9388190634203391E-2</v>
      </c>
      <c r="R102" s="144">
        <v>0.01</v>
      </c>
    </row>
    <row r="103" spans="16:18">
      <c r="P103" t="s">
        <v>74</v>
      </c>
      <c r="Q103" s="119">
        <v>1.9486094531427686E-2</v>
      </c>
      <c r="R103" s="119">
        <v>1.4999999999999999E-2</v>
      </c>
    </row>
    <row r="104" spans="16:18">
      <c r="P104" t="s">
        <v>74</v>
      </c>
      <c r="Q104" s="119">
        <v>1.9584037571530859E-2</v>
      </c>
      <c r="R104" s="119">
        <v>0.02</v>
      </c>
    </row>
    <row r="105" spans="16:18">
      <c r="P105" t="s">
        <v>74</v>
      </c>
      <c r="Q105" s="119">
        <v>1.9682019032141385E-2</v>
      </c>
      <c r="R105" s="119">
        <v>2.5000000000000001E-2</v>
      </c>
    </row>
    <row r="106" spans="16:18">
      <c r="P106" t="s">
        <v>74</v>
      </c>
      <c r="Q106" s="119">
        <v>1.9780038185125831E-2</v>
      </c>
      <c r="R106" s="144">
        <v>0.03</v>
      </c>
    </row>
    <row r="107" spans="16:18">
      <c r="P107" t="s">
        <v>74</v>
      </c>
      <c r="Q107" s="119">
        <v>0.05</v>
      </c>
      <c r="R107" s="144">
        <v>0.03</v>
      </c>
    </row>
    <row r="108" spans="16:18">
      <c r="P108" t="s">
        <v>78</v>
      </c>
      <c r="Q108" s="119">
        <v>1.8758598492000934E-2</v>
      </c>
      <c r="R108" s="119">
        <v>5.0000000000000001E-3</v>
      </c>
    </row>
    <row r="109" spans="16:18">
      <c r="P109" t="s">
        <v>78</v>
      </c>
      <c r="Q109" s="119">
        <v>1.8947641930760005E-2</v>
      </c>
      <c r="R109" s="144">
        <v>0.01</v>
      </c>
    </row>
    <row r="110" spans="16:18">
      <c r="P110" t="s">
        <v>78</v>
      </c>
      <c r="Q110" s="119">
        <v>1.9136320009885889E-2</v>
      </c>
      <c r="R110" s="119">
        <v>1.4999999999999999E-2</v>
      </c>
    </row>
    <row r="111" spans="16:18">
      <c r="P111" t="s">
        <v>78</v>
      </c>
      <c r="Q111" s="119">
        <v>1.9324636504382139E-2</v>
      </c>
      <c r="R111" s="119">
        <v>0.02</v>
      </c>
    </row>
    <row r="112" spans="16:18">
      <c r="P112" t="s">
        <v>78</v>
      </c>
      <c r="Q112" s="119">
        <v>1.9512595141244257E-2</v>
      </c>
      <c r="R112" s="119">
        <v>2.5000000000000001E-2</v>
      </c>
    </row>
    <row r="113" spans="16:18">
      <c r="P113" t="s">
        <v>78</v>
      </c>
      <c r="Q113" s="119">
        <v>1.9700199600251631E-2</v>
      </c>
      <c r="R113" s="144">
        <v>0.03</v>
      </c>
    </row>
    <row r="114" spans="16:18">
      <c r="P114" t="s">
        <v>78</v>
      </c>
      <c r="Q114" s="119">
        <v>2.0400000000000001E-2</v>
      </c>
      <c r="R114" s="144">
        <v>0.03</v>
      </c>
    </row>
    <row r="115" spans="16:18">
      <c r="P115" t="s">
        <v>78</v>
      </c>
      <c r="Q115" s="119">
        <v>0.05</v>
      </c>
      <c r="R115" s="144">
        <v>0.03</v>
      </c>
    </row>
    <row r="116" spans="16:18">
      <c r="P116" t="s">
        <v>280</v>
      </c>
      <c r="Q116" s="119">
        <v>1.755158929483586E-2</v>
      </c>
      <c r="R116" s="119">
        <v>5.0000000000000001E-3</v>
      </c>
    </row>
    <row r="117" spans="16:18">
      <c r="P117" t="s">
        <v>280</v>
      </c>
      <c r="Q117" s="119">
        <v>1.7653681907108046E-2</v>
      </c>
      <c r="R117" s="144">
        <v>0.01</v>
      </c>
    </row>
    <row r="118" spans="16:18">
      <c r="P118" t="s">
        <v>280</v>
      </c>
      <c r="Q118" s="119">
        <v>1.7751863924295241E-2</v>
      </c>
      <c r="R118" s="119">
        <v>1.4999999999999999E-2</v>
      </c>
    </row>
    <row r="119" spans="16:18">
      <c r="P119" t="s">
        <v>280</v>
      </c>
      <c r="Q119" s="119">
        <v>1.7850083402981665E-2</v>
      </c>
      <c r="R119" s="119">
        <v>0.02</v>
      </c>
    </row>
    <row r="120" spans="16:18">
      <c r="P120" t="s">
        <v>280</v>
      </c>
      <c r="Q120" s="119">
        <v>1.7948339610455461E-2</v>
      </c>
      <c r="R120" s="119">
        <v>2.5000000000000001E-2</v>
      </c>
    </row>
    <row r="121" spans="16:18">
      <c r="P121" t="s">
        <v>280</v>
      </c>
      <c r="Q121" s="119">
        <v>1.80466318319073E-2</v>
      </c>
      <c r="R121" s="144">
        <v>0.03</v>
      </c>
    </row>
    <row r="122" spans="16:18">
      <c r="P122" t="s">
        <v>280</v>
      </c>
      <c r="Q122" s="119">
        <v>2.0400000000000001E-2</v>
      </c>
      <c r="R122" s="144">
        <v>0.03</v>
      </c>
    </row>
    <row r="123" spans="16:18">
      <c r="P123" t="s">
        <v>280</v>
      </c>
      <c r="Q123" s="119">
        <v>0.05</v>
      </c>
      <c r="R123" s="144">
        <v>0.03</v>
      </c>
    </row>
    <row r="124" spans="16:18">
      <c r="P124" t="s">
        <v>281</v>
      </c>
      <c r="Q124" s="119">
        <v>2.0118923359078254E-2</v>
      </c>
      <c r="R124" s="119">
        <v>5.0000000000000001E-3</v>
      </c>
    </row>
    <row r="125" spans="16:18">
      <c r="P125" t="s">
        <v>281</v>
      </c>
      <c r="Q125" s="119">
        <v>2.022630297362854E-2</v>
      </c>
      <c r="R125" s="144">
        <v>0.01</v>
      </c>
    </row>
    <row r="126" spans="16:18">
      <c r="P126" t="s">
        <v>281</v>
      </c>
      <c r="Q126" s="119">
        <v>2.0333585864420578E-2</v>
      </c>
      <c r="R126" s="119">
        <v>1.4999999999999999E-2</v>
      </c>
    </row>
    <row r="127" spans="16:18">
      <c r="P127" t="s">
        <v>281</v>
      </c>
      <c r="Q127" s="119">
        <v>2.0426445286614768E-2</v>
      </c>
      <c r="R127" s="119">
        <v>0.02</v>
      </c>
    </row>
    <row r="128" spans="16:18">
      <c r="P128" t="s">
        <v>281</v>
      </c>
      <c r="Q128" s="119">
        <v>2.0533640876433269E-2</v>
      </c>
      <c r="R128" s="119">
        <v>2.5000000000000001E-2</v>
      </c>
    </row>
    <row r="129" spans="16:18">
      <c r="P129" t="s">
        <v>281</v>
      </c>
      <c r="Q129" s="119">
        <v>2.0651383262325192E-2</v>
      </c>
      <c r="R129" s="144">
        <v>0.03</v>
      </c>
    </row>
    <row r="130" spans="16:18">
      <c r="P130" t="s">
        <v>281</v>
      </c>
      <c r="Q130" s="119">
        <v>0.05</v>
      </c>
      <c r="R130" s="144">
        <v>0.03</v>
      </c>
    </row>
  </sheetData>
  <autoFilter ref="P1:R91" xr:uid="{71F56714-346B-9149-971D-F5BA20496D1D}"/>
  <sortState xmlns:xlrd2="http://schemas.microsoft.com/office/spreadsheetml/2017/richdata2" ref="P2:R47">
    <sortCondition ref="P2:P47"/>
  </sortState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C8F2B-9235-804C-AEA8-D6AF1721EB43}">
  <dimension ref="A1:G109"/>
  <sheetViews>
    <sheetView showGridLines="0" workbookViewId="0">
      <pane ySplit="1" topLeftCell="A2" activePane="bottomLeft" state="frozen"/>
      <selection pane="bottomLeft" activeCell="D10" sqref="D10"/>
    </sheetView>
  </sheetViews>
  <sheetFormatPr defaultColWidth="11.42578125" defaultRowHeight="15"/>
  <cols>
    <col min="1" max="1" width="29" style="81" customWidth="1"/>
    <col min="2" max="3" width="28.28515625" customWidth="1"/>
    <col min="4" max="4" width="19.42578125" customWidth="1"/>
  </cols>
  <sheetData>
    <row r="1" spans="1:4" ht="20.25">
      <c r="A1" s="179" t="s">
        <v>142</v>
      </c>
      <c r="B1" s="179" t="s">
        <v>284</v>
      </c>
      <c r="C1" s="179" t="s">
        <v>285</v>
      </c>
      <c r="D1" s="179" t="s">
        <v>193</v>
      </c>
    </row>
    <row r="2" spans="1:4" ht="20.25">
      <c r="A2" s="180" t="s">
        <v>203</v>
      </c>
      <c r="B2" s="181">
        <v>2.2499999999999999E-2</v>
      </c>
      <c r="C2" s="181">
        <f>B2-0.03%</f>
        <v>2.2199999999999998E-2</v>
      </c>
      <c r="D2" s="181" t="s">
        <v>195</v>
      </c>
    </row>
    <row r="3" spans="1:4" ht="20.25">
      <c r="A3" s="180" t="s">
        <v>203</v>
      </c>
      <c r="B3" s="181">
        <v>2.2599999999999999E-2</v>
      </c>
      <c r="C3" s="181">
        <f t="shared" ref="C3:C66" si="0">B3-0.03%</f>
        <v>2.2299999999999997E-2</v>
      </c>
      <c r="D3" s="182" t="s">
        <v>196</v>
      </c>
    </row>
    <row r="4" spans="1:4" ht="20.25">
      <c r="A4" s="180" t="s">
        <v>203</v>
      </c>
      <c r="B4" s="181">
        <v>2.2800000000000001E-2</v>
      </c>
      <c r="C4" s="181">
        <f t="shared" si="0"/>
        <v>2.2499999999999999E-2</v>
      </c>
      <c r="D4" s="181" t="s">
        <v>197</v>
      </c>
    </row>
    <row r="5" spans="1:4" ht="20.25">
      <c r="A5" s="180" t="s">
        <v>203</v>
      </c>
      <c r="B5" s="181">
        <v>2.29E-2</v>
      </c>
      <c r="C5" s="181">
        <f t="shared" si="0"/>
        <v>2.2599999999999999E-2</v>
      </c>
      <c r="D5" s="181" t="s">
        <v>198</v>
      </c>
    </row>
    <row r="6" spans="1:4" ht="20.25">
      <c r="A6" s="180" t="s">
        <v>203</v>
      </c>
      <c r="B6" s="181">
        <v>2.3E-2</v>
      </c>
      <c r="C6" s="181">
        <f t="shared" si="0"/>
        <v>2.2699999999999998E-2</v>
      </c>
      <c r="D6" s="181" t="s">
        <v>199</v>
      </c>
    </row>
    <row r="7" spans="1:4" ht="20.25">
      <c r="A7" s="183" t="s">
        <v>203</v>
      </c>
      <c r="B7" s="184">
        <v>2.3199999999999998E-2</v>
      </c>
      <c r="C7" s="184">
        <f t="shared" si="0"/>
        <v>2.2899999999999997E-2</v>
      </c>
      <c r="D7" s="185" t="s">
        <v>200</v>
      </c>
    </row>
    <row r="8" spans="1:4" ht="20.25">
      <c r="A8" s="186" t="s">
        <v>152</v>
      </c>
      <c r="B8" s="187">
        <v>2.12E-2</v>
      </c>
      <c r="C8" s="187">
        <f t="shared" si="0"/>
        <v>2.0899999999999998E-2</v>
      </c>
      <c r="D8" s="187" t="s">
        <v>195</v>
      </c>
    </row>
    <row r="9" spans="1:4" ht="20.25">
      <c r="A9" s="186" t="s">
        <v>152</v>
      </c>
      <c r="B9" s="187">
        <v>2.1399999999999999E-2</v>
      </c>
      <c r="C9" s="187">
        <f t="shared" si="0"/>
        <v>2.1099999999999997E-2</v>
      </c>
      <c r="D9" s="188" t="s">
        <v>196</v>
      </c>
    </row>
    <row r="10" spans="1:4" ht="20.25">
      <c r="A10" s="186" t="s">
        <v>152</v>
      </c>
      <c r="B10" s="187">
        <v>2.1499999999999998E-2</v>
      </c>
      <c r="C10" s="187">
        <f t="shared" si="0"/>
        <v>2.1199999999999997E-2</v>
      </c>
      <c r="D10" s="187" t="s">
        <v>197</v>
      </c>
    </row>
    <row r="11" spans="1:4" ht="20.25">
      <c r="A11" s="186" t="s">
        <v>152</v>
      </c>
      <c r="B11" s="187">
        <v>2.1700000000000001E-2</v>
      </c>
      <c r="C11" s="187">
        <f t="shared" si="0"/>
        <v>2.1399999999999999E-2</v>
      </c>
      <c r="D11" s="187" t="s">
        <v>198</v>
      </c>
    </row>
    <row r="12" spans="1:4" ht="20.25">
      <c r="A12" s="186" t="s">
        <v>152</v>
      </c>
      <c r="B12" s="187">
        <v>2.1899999999999999E-2</v>
      </c>
      <c r="C12" s="187">
        <f t="shared" si="0"/>
        <v>2.1599999999999998E-2</v>
      </c>
      <c r="D12" s="187" t="s">
        <v>199</v>
      </c>
    </row>
    <row r="13" spans="1:4" ht="20.25">
      <c r="A13" s="189" t="s">
        <v>152</v>
      </c>
      <c r="B13" s="190">
        <v>2.1999999999999999E-2</v>
      </c>
      <c r="C13" s="190">
        <f t="shared" si="0"/>
        <v>2.1699999999999997E-2</v>
      </c>
      <c r="D13" s="191" t="s">
        <v>200</v>
      </c>
    </row>
    <row r="14" spans="1:4" ht="20.25">
      <c r="A14" s="180" t="s">
        <v>29</v>
      </c>
      <c r="B14" s="181">
        <v>1.78E-2</v>
      </c>
      <c r="C14" s="181">
        <f t="shared" si="0"/>
        <v>1.7499999999999998E-2</v>
      </c>
      <c r="D14" s="181" t="s">
        <v>195</v>
      </c>
    </row>
    <row r="15" spans="1:4" ht="20.25">
      <c r="A15" s="180" t="s">
        <v>29</v>
      </c>
      <c r="B15" s="181">
        <v>1.7899999999999999E-2</v>
      </c>
      <c r="C15" s="181">
        <f t="shared" si="0"/>
        <v>1.7599999999999998E-2</v>
      </c>
      <c r="D15" s="181" t="s">
        <v>196</v>
      </c>
    </row>
    <row r="16" spans="1:4" ht="20.25">
      <c r="A16" s="180" t="s">
        <v>29</v>
      </c>
      <c r="B16" s="181">
        <v>1.8100000000000002E-2</v>
      </c>
      <c r="C16" s="181">
        <f t="shared" si="0"/>
        <v>1.78E-2</v>
      </c>
      <c r="D16" s="181" t="s">
        <v>197</v>
      </c>
    </row>
    <row r="17" spans="1:4" ht="20.25">
      <c r="A17" s="180" t="s">
        <v>29</v>
      </c>
      <c r="B17" s="181">
        <v>1.8200000000000001E-2</v>
      </c>
      <c r="C17" s="181">
        <f t="shared" si="0"/>
        <v>1.7899999999999999E-2</v>
      </c>
      <c r="D17" s="181" t="s">
        <v>198</v>
      </c>
    </row>
    <row r="18" spans="1:4" ht="20.25">
      <c r="A18" s="180" t="s">
        <v>29</v>
      </c>
      <c r="B18" s="181">
        <v>1.83E-2</v>
      </c>
      <c r="C18" s="181">
        <f t="shared" si="0"/>
        <v>1.7999999999999999E-2</v>
      </c>
      <c r="D18" s="181" t="s">
        <v>199</v>
      </c>
    </row>
    <row r="19" spans="1:4" ht="20.25">
      <c r="A19" s="183" t="s">
        <v>29</v>
      </c>
      <c r="B19" s="184">
        <v>1.8499999999999999E-2</v>
      </c>
      <c r="C19" s="184">
        <f t="shared" si="0"/>
        <v>1.8199999999999997E-2</v>
      </c>
      <c r="D19" s="184" t="s">
        <v>200</v>
      </c>
    </row>
    <row r="20" spans="1:4" ht="20.25">
      <c r="A20" s="186" t="s">
        <v>143</v>
      </c>
      <c r="B20" s="187">
        <v>1.9699999999999999E-2</v>
      </c>
      <c r="C20" s="187">
        <f t="shared" si="0"/>
        <v>1.9399999999999997E-2</v>
      </c>
      <c r="D20" s="187" t="s">
        <v>195</v>
      </c>
    </row>
    <row r="21" spans="1:4" ht="20.25">
      <c r="A21" s="186" t="s">
        <v>143</v>
      </c>
      <c r="B21" s="187">
        <v>1.9800000000000002E-2</v>
      </c>
      <c r="C21" s="187">
        <f t="shared" si="0"/>
        <v>1.95E-2</v>
      </c>
      <c r="D21" s="187" t="s">
        <v>196</v>
      </c>
    </row>
    <row r="22" spans="1:4" ht="20.25">
      <c r="A22" s="186" t="s">
        <v>143</v>
      </c>
      <c r="B22" s="187">
        <v>0.02</v>
      </c>
      <c r="C22" s="187">
        <f t="shared" si="0"/>
        <v>1.9699999999999999E-2</v>
      </c>
      <c r="D22" s="187" t="s">
        <v>197</v>
      </c>
    </row>
    <row r="23" spans="1:4" ht="20.25">
      <c r="A23" s="186" t="s">
        <v>143</v>
      </c>
      <c r="B23" s="187">
        <v>2.01E-2</v>
      </c>
      <c r="C23" s="187">
        <f t="shared" si="0"/>
        <v>1.9799999999999998E-2</v>
      </c>
      <c r="D23" s="187" t="s">
        <v>198</v>
      </c>
    </row>
    <row r="24" spans="1:4" ht="20.25">
      <c r="A24" s="186" t="s">
        <v>143</v>
      </c>
      <c r="B24" s="187">
        <v>2.0299999999999999E-2</v>
      </c>
      <c r="C24" s="187">
        <f t="shared" si="0"/>
        <v>1.9999999999999997E-2</v>
      </c>
      <c r="D24" s="187" t="s">
        <v>199</v>
      </c>
    </row>
    <row r="25" spans="1:4" ht="20.25">
      <c r="A25" s="189" t="s">
        <v>143</v>
      </c>
      <c r="B25" s="190">
        <v>2.0500000000000001E-2</v>
      </c>
      <c r="C25" s="190">
        <f t="shared" si="0"/>
        <v>2.0199999999999999E-2</v>
      </c>
      <c r="D25" s="190" t="s">
        <v>200</v>
      </c>
    </row>
    <row r="26" spans="1:4" ht="20.25">
      <c r="A26" s="180" t="s">
        <v>151</v>
      </c>
      <c r="B26" s="181">
        <v>2.0400000000000001E-2</v>
      </c>
      <c r="C26" s="181">
        <f t="shared" si="0"/>
        <v>2.01E-2</v>
      </c>
      <c r="D26" s="181" t="s">
        <v>195</v>
      </c>
    </row>
    <row r="27" spans="1:4" ht="20.25">
      <c r="A27" s="180" t="s">
        <v>151</v>
      </c>
      <c r="B27" s="181">
        <v>2.06E-2</v>
      </c>
      <c r="C27" s="181">
        <f t="shared" si="0"/>
        <v>2.0299999999999999E-2</v>
      </c>
      <c r="D27" s="181" t="s">
        <v>196</v>
      </c>
    </row>
    <row r="28" spans="1:4" ht="20.25">
      <c r="A28" s="180" t="s">
        <v>151</v>
      </c>
      <c r="B28" s="181">
        <v>2.0799999999999999E-2</v>
      </c>
      <c r="C28" s="181">
        <f t="shared" si="0"/>
        <v>2.0499999999999997E-2</v>
      </c>
      <c r="D28" s="181" t="s">
        <v>197</v>
      </c>
    </row>
    <row r="29" spans="1:4" ht="20.25">
      <c r="A29" s="180" t="s">
        <v>151</v>
      </c>
      <c r="B29" s="181">
        <v>2.0899999999999998E-2</v>
      </c>
      <c r="C29" s="181">
        <f t="shared" si="0"/>
        <v>2.0599999999999997E-2</v>
      </c>
      <c r="D29" s="181" t="s">
        <v>198</v>
      </c>
    </row>
    <row r="30" spans="1:4" ht="20.25">
      <c r="A30" s="180" t="s">
        <v>151</v>
      </c>
      <c r="B30" s="181">
        <v>2.1100000000000001E-2</v>
      </c>
      <c r="C30" s="181">
        <f t="shared" si="0"/>
        <v>2.0799999999999999E-2</v>
      </c>
      <c r="D30" s="181" t="s">
        <v>199</v>
      </c>
    </row>
    <row r="31" spans="1:4" ht="20.25">
      <c r="A31" s="183" t="s">
        <v>151</v>
      </c>
      <c r="B31" s="184">
        <v>2.1299999999999999E-2</v>
      </c>
      <c r="C31" s="184">
        <f t="shared" si="0"/>
        <v>2.0999999999999998E-2</v>
      </c>
      <c r="D31" s="184" t="s">
        <v>200</v>
      </c>
    </row>
    <row r="32" spans="1:4" ht="20.25">
      <c r="A32" s="186" t="s">
        <v>150</v>
      </c>
      <c r="B32" s="187">
        <v>1.7600000000000001E-2</v>
      </c>
      <c r="C32" s="187">
        <f t="shared" si="0"/>
        <v>1.7299999999999999E-2</v>
      </c>
      <c r="D32" s="187" t="s">
        <v>195</v>
      </c>
    </row>
    <row r="33" spans="1:4" ht="20.25">
      <c r="A33" s="186" t="s">
        <v>150</v>
      </c>
      <c r="B33" s="187">
        <v>1.77E-2</v>
      </c>
      <c r="C33" s="187">
        <f t="shared" si="0"/>
        <v>1.7399999999999999E-2</v>
      </c>
      <c r="D33" s="187" t="s">
        <v>196</v>
      </c>
    </row>
    <row r="34" spans="1:4" ht="20.25">
      <c r="A34" s="186" t="s">
        <v>150</v>
      </c>
      <c r="B34" s="187">
        <v>1.7899999999999999E-2</v>
      </c>
      <c r="C34" s="187">
        <f t="shared" si="0"/>
        <v>1.7599999999999998E-2</v>
      </c>
      <c r="D34" s="187" t="s">
        <v>197</v>
      </c>
    </row>
    <row r="35" spans="1:4" ht="20.25">
      <c r="A35" s="186" t="s">
        <v>150</v>
      </c>
      <c r="B35" s="187">
        <v>1.7999999999999999E-2</v>
      </c>
      <c r="C35" s="187">
        <f t="shared" si="0"/>
        <v>1.7699999999999997E-2</v>
      </c>
      <c r="D35" s="187" t="s">
        <v>198</v>
      </c>
    </row>
    <row r="36" spans="1:4" ht="20.25">
      <c r="A36" s="186" t="s">
        <v>150</v>
      </c>
      <c r="B36" s="187">
        <v>1.8200000000000001E-2</v>
      </c>
      <c r="C36" s="187">
        <f t="shared" si="0"/>
        <v>1.7899999999999999E-2</v>
      </c>
      <c r="D36" s="187" t="s">
        <v>199</v>
      </c>
    </row>
    <row r="37" spans="1:4" ht="20.25">
      <c r="A37" s="189" t="s">
        <v>150</v>
      </c>
      <c r="B37" s="190">
        <v>1.83E-2</v>
      </c>
      <c r="C37" s="190">
        <f t="shared" si="0"/>
        <v>1.7999999999999999E-2</v>
      </c>
      <c r="D37" s="190" t="s">
        <v>200</v>
      </c>
    </row>
    <row r="38" spans="1:4" ht="20.25">
      <c r="A38" s="180" t="s">
        <v>204</v>
      </c>
      <c r="B38" s="181">
        <v>1.7399999999999999E-2</v>
      </c>
      <c r="C38" s="181">
        <f t="shared" si="0"/>
        <v>1.7099999999999997E-2</v>
      </c>
      <c r="D38" s="181" t="s">
        <v>195</v>
      </c>
    </row>
    <row r="39" spans="1:4" ht="20.25">
      <c r="A39" s="180" t="s">
        <v>204</v>
      </c>
      <c r="B39" s="181">
        <v>1.7500000000000002E-2</v>
      </c>
      <c r="C39" s="181">
        <f t="shared" si="0"/>
        <v>1.72E-2</v>
      </c>
      <c r="D39" s="182" t="s">
        <v>196</v>
      </c>
    </row>
    <row r="40" spans="1:4" ht="20.25">
      <c r="A40" s="180" t="s">
        <v>204</v>
      </c>
      <c r="B40" s="181">
        <v>1.77E-2</v>
      </c>
      <c r="C40" s="181">
        <f t="shared" si="0"/>
        <v>1.7399999999999999E-2</v>
      </c>
      <c r="D40" s="181" t="s">
        <v>197</v>
      </c>
    </row>
    <row r="41" spans="1:4" ht="20.25">
      <c r="A41" s="180" t="s">
        <v>204</v>
      </c>
      <c r="B41" s="181">
        <v>1.78E-2</v>
      </c>
      <c r="C41" s="181">
        <f t="shared" si="0"/>
        <v>1.7499999999999998E-2</v>
      </c>
      <c r="D41" s="181" t="s">
        <v>198</v>
      </c>
    </row>
    <row r="42" spans="1:4" ht="20.25">
      <c r="A42" s="180" t="s">
        <v>204</v>
      </c>
      <c r="B42" s="181">
        <v>1.7899999999999999E-2</v>
      </c>
      <c r="C42" s="181">
        <f t="shared" si="0"/>
        <v>1.7599999999999998E-2</v>
      </c>
      <c r="D42" s="181" t="s">
        <v>199</v>
      </c>
    </row>
    <row r="43" spans="1:4" ht="20.25">
      <c r="A43" s="183" t="s">
        <v>204</v>
      </c>
      <c r="B43" s="184">
        <v>1.8100000000000002E-2</v>
      </c>
      <c r="C43" s="184">
        <f t="shared" si="0"/>
        <v>1.78E-2</v>
      </c>
      <c r="D43" s="185" t="s">
        <v>200</v>
      </c>
    </row>
    <row r="44" spans="1:4" ht="20.25">
      <c r="A44" s="186" t="s">
        <v>184</v>
      </c>
      <c r="B44" s="187">
        <v>1.8800000000000001E-2</v>
      </c>
      <c r="C44" s="187">
        <f t="shared" si="0"/>
        <v>1.8499999999999999E-2</v>
      </c>
      <c r="D44" s="187" t="s">
        <v>195</v>
      </c>
    </row>
    <row r="45" spans="1:4" ht="20.25">
      <c r="A45" s="186" t="s">
        <v>184</v>
      </c>
      <c r="B45" s="187">
        <v>1.89E-2</v>
      </c>
      <c r="C45" s="187">
        <f t="shared" si="0"/>
        <v>1.8599999999999998E-2</v>
      </c>
      <c r="D45" s="188" t="s">
        <v>196</v>
      </c>
    </row>
    <row r="46" spans="1:4" ht="20.25">
      <c r="A46" s="186" t="s">
        <v>184</v>
      </c>
      <c r="B46" s="187">
        <v>1.9099999999999999E-2</v>
      </c>
      <c r="C46" s="187">
        <f t="shared" si="0"/>
        <v>1.8799999999999997E-2</v>
      </c>
      <c r="D46" s="187" t="s">
        <v>197</v>
      </c>
    </row>
    <row r="47" spans="1:4" ht="20.25">
      <c r="A47" s="186" t="s">
        <v>184</v>
      </c>
      <c r="B47" s="187">
        <v>1.9199999999999998E-2</v>
      </c>
      <c r="C47" s="187">
        <f t="shared" si="0"/>
        <v>1.8899999999999997E-2</v>
      </c>
      <c r="D47" s="187" t="s">
        <v>198</v>
      </c>
    </row>
    <row r="48" spans="1:4" ht="20.25">
      <c r="A48" s="186" t="s">
        <v>184</v>
      </c>
      <c r="B48" s="187">
        <v>1.9300000000000001E-2</v>
      </c>
      <c r="C48" s="187">
        <f t="shared" si="0"/>
        <v>1.9E-2</v>
      </c>
      <c r="D48" s="187" t="s">
        <v>199</v>
      </c>
    </row>
    <row r="49" spans="1:7" ht="20.25">
      <c r="A49" s="189" t="s">
        <v>184</v>
      </c>
      <c r="B49" s="190">
        <v>1.9400000000000001E-2</v>
      </c>
      <c r="C49" s="190">
        <f t="shared" si="0"/>
        <v>1.9099999999999999E-2</v>
      </c>
      <c r="D49" s="191" t="s">
        <v>200</v>
      </c>
    </row>
    <row r="50" spans="1:7" ht="20.25">
      <c r="A50" s="180" t="s">
        <v>183</v>
      </c>
      <c r="B50" s="181">
        <v>1.91057925919247E-2</v>
      </c>
      <c r="C50" s="181">
        <v>1.8805792591924698E-2</v>
      </c>
      <c r="D50" s="181" t="s">
        <v>195</v>
      </c>
    </row>
    <row r="51" spans="1:7" ht="20.25">
      <c r="A51" s="180" t="s">
        <v>183</v>
      </c>
      <c r="B51" s="181">
        <v>1.9205748900129643E-2</v>
      </c>
      <c r="C51" s="181">
        <v>1.8905748900129641E-2</v>
      </c>
      <c r="D51" s="182" t="s">
        <v>196</v>
      </c>
    </row>
    <row r="52" spans="1:7" ht="20.25">
      <c r="A52" s="180" t="s">
        <v>183</v>
      </c>
      <c r="B52" s="181">
        <v>1.9305698189825936E-2</v>
      </c>
      <c r="C52" s="181">
        <v>1.9005698189825934E-2</v>
      </c>
      <c r="D52" s="181" t="s">
        <v>197</v>
      </c>
    </row>
    <row r="53" spans="1:7" ht="20.25">
      <c r="A53" s="180" t="s">
        <v>183</v>
      </c>
      <c r="B53" s="181">
        <v>1.9405703905410167E-2</v>
      </c>
      <c r="C53" s="181">
        <v>1.9105703905410165E-2</v>
      </c>
      <c r="D53" s="181" t="s">
        <v>198</v>
      </c>
    </row>
    <row r="54" spans="1:7" ht="20.25">
      <c r="A54" s="180" t="s">
        <v>183</v>
      </c>
      <c r="B54" s="181">
        <v>1.9505719409484683E-2</v>
      </c>
      <c r="C54" s="181">
        <v>1.9205719409484682E-2</v>
      </c>
      <c r="D54" s="181" t="s">
        <v>199</v>
      </c>
    </row>
    <row r="55" spans="1:7" ht="20.25">
      <c r="A55" s="183" t="s">
        <v>183</v>
      </c>
      <c r="B55" s="184">
        <v>1.9605677690990548E-2</v>
      </c>
      <c r="C55" s="184">
        <v>1.9305677690990546E-2</v>
      </c>
      <c r="D55" s="185" t="s">
        <v>200</v>
      </c>
      <c r="F55" s="92"/>
      <c r="G55" s="92"/>
    </row>
    <row r="56" spans="1:7" ht="20.25">
      <c r="A56" s="186" t="s">
        <v>185</v>
      </c>
      <c r="B56" s="187">
        <v>0.02</v>
      </c>
      <c r="C56" s="187">
        <f t="shared" si="0"/>
        <v>1.9699999999999999E-2</v>
      </c>
      <c r="D56" s="187" t="s">
        <v>195</v>
      </c>
      <c r="F56" s="92"/>
      <c r="G56" s="92"/>
    </row>
    <row r="57" spans="1:7" ht="20.25">
      <c r="A57" s="186" t="s">
        <v>185</v>
      </c>
      <c r="B57" s="187">
        <v>2.01E-2</v>
      </c>
      <c r="C57" s="187">
        <f t="shared" si="0"/>
        <v>1.9799999999999998E-2</v>
      </c>
      <c r="D57" s="188" t="s">
        <v>196</v>
      </c>
      <c r="F57" s="92"/>
      <c r="G57" s="92"/>
    </row>
    <row r="58" spans="1:7" ht="20.25">
      <c r="A58" s="186" t="s">
        <v>185</v>
      </c>
      <c r="B58" s="187">
        <v>2.0299999999999999E-2</v>
      </c>
      <c r="C58" s="187">
        <f t="shared" si="0"/>
        <v>1.9999999999999997E-2</v>
      </c>
      <c r="D58" s="187" t="s">
        <v>197</v>
      </c>
      <c r="F58" s="92"/>
      <c r="G58" s="92"/>
    </row>
    <row r="59" spans="1:7" ht="20.25">
      <c r="A59" s="186" t="s">
        <v>185</v>
      </c>
      <c r="B59" s="187">
        <v>2.0400000000000001E-2</v>
      </c>
      <c r="C59" s="187">
        <f t="shared" si="0"/>
        <v>2.01E-2</v>
      </c>
      <c r="D59" s="187" t="s">
        <v>198</v>
      </c>
      <c r="F59" s="92"/>
      <c r="G59" s="92"/>
    </row>
    <row r="60" spans="1:7" ht="20.25">
      <c r="A60" s="186" t="s">
        <v>185</v>
      </c>
      <c r="B60" s="187">
        <v>2.0500000000000001E-2</v>
      </c>
      <c r="C60" s="187">
        <f t="shared" si="0"/>
        <v>2.0199999999999999E-2</v>
      </c>
      <c r="D60" s="187" t="s">
        <v>199</v>
      </c>
      <c r="F60" s="92"/>
      <c r="G60" s="92"/>
    </row>
    <row r="61" spans="1:7" ht="20.25">
      <c r="A61" s="189" t="s">
        <v>185</v>
      </c>
      <c r="B61" s="190">
        <v>2.07E-2</v>
      </c>
      <c r="C61" s="190">
        <f t="shared" si="0"/>
        <v>2.0399999999999998E-2</v>
      </c>
      <c r="D61" s="191" t="s">
        <v>200</v>
      </c>
    </row>
    <row r="62" spans="1:7" ht="20.25">
      <c r="A62" s="180" t="s">
        <v>186</v>
      </c>
      <c r="B62" s="181">
        <v>2.1925606725993075E-2</v>
      </c>
      <c r="C62" s="181">
        <f t="shared" si="0"/>
        <v>2.1625606725993073E-2</v>
      </c>
      <c r="D62" s="181" t="s">
        <v>195</v>
      </c>
    </row>
    <row r="63" spans="1:7" ht="20.25">
      <c r="A63" s="180" t="s">
        <v>186</v>
      </c>
      <c r="B63" s="181">
        <v>2.2063718299248213E-2</v>
      </c>
      <c r="C63" s="181">
        <f t="shared" si="0"/>
        <v>2.1763718299248211E-2</v>
      </c>
      <c r="D63" s="182" t="s">
        <v>196</v>
      </c>
    </row>
    <row r="64" spans="1:7" ht="20.25">
      <c r="A64" s="180" t="s">
        <v>186</v>
      </c>
      <c r="B64" s="181">
        <v>2.2200800263654147E-2</v>
      </c>
      <c r="C64" s="181">
        <f t="shared" si="0"/>
        <v>2.1900800263654145E-2</v>
      </c>
      <c r="D64" s="181" t="s">
        <v>197</v>
      </c>
    </row>
    <row r="65" spans="1:4" ht="20.25">
      <c r="A65" s="180" t="s">
        <v>186</v>
      </c>
      <c r="B65" s="181">
        <v>2.2337297977459866E-2</v>
      </c>
      <c r="C65" s="181">
        <f t="shared" si="0"/>
        <v>2.2037297977459864E-2</v>
      </c>
      <c r="D65" s="181" t="s">
        <v>198</v>
      </c>
    </row>
    <row r="66" spans="1:4" ht="20.25">
      <c r="A66" s="180" t="s">
        <v>186</v>
      </c>
      <c r="B66" s="181">
        <v>2.2443157077500775E-2</v>
      </c>
      <c r="C66" s="181">
        <f t="shared" si="0"/>
        <v>2.2143157077500773E-2</v>
      </c>
      <c r="D66" s="181" t="s">
        <v>199</v>
      </c>
    </row>
    <row r="67" spans="1:4" ht="20.25">
      <c r="A67" s="183" t="s">
        <v>186</v>
      </c>
      <c r="B67" s="184">
        <v>2.2601350021390246E-2</v>
      </c>
      <c r="C67" s="184">
        <f t="shared" ref="C67:C109" si="1">B67-0.03%</f>
        <v>2.2301350021390245E-2</v>
      </c>
      <c r="D67" s="185" t="s">
        <v>200</v>
      </c>
    </row>
    <row r="68" spans="1:4" ht="20.25">
      <c r="A68" s="186" t="s">
        <v>189</v>
      </c>
      <c r="B68" s="187">
        <v>2.1700000000000001E-2</v>
      </c>
      <c r="C68" s="187">
        <f t="shared" si="1"/>
        <v>2.1399999999999999E-2</v>
      </c>
      <c r="D68" s="187" t="s">
        <v>195</v>
      </c>
    </row>
    <row r="69" spans="1:4" ht="20.25">
      <c r="A69" s="186" t="s">
        <v>189</v>
      </c>
      <c r="B69" s="187">
        <v>2.1899999999999999E-2</v>
      </c>
      <c r="C69" s="187">
        <f t="shared" si="1"/>
        <v>2.1599999999999998E-2</v>
      </c>
      <c r="D69" s="188" t="s">
        <v>196</v>
      </c>
    </row>
    <row r="70" spans="1:4" ht="20.25">
      <c r="A70" s="186" t="s">
        <v>189</v>
      </c>
      <c r="B70" s="187">
        <v>2.1999999999999999E-2</v>
      </c>
      <c r="C70" s="187">
        <f t="shared" si="1"/>
        <v>2.1699999999999997E-2</v>
      </c>
      <c r="D70" s="187" t="s">
        <v>197</v>
      </c>
    </row>
    <row r="71" spans="1:4" ht="20.25">
      <c r="A71" s="186" t="s">
        <v>189</v>
      </c>
      <c r="B71" s="187">
        <v>2.2100000000000002E-2</v>
      </c>
      <c r="C71" s="187">
        <f t="shared" si="1"/>
        <v>2.18E-2</v>
      </c>
      <c r="D71" s="187" t="s">
        <v>198</v>
      </c>
    </row>
    <row r="72" spans="1:4" ht="20.25">
      <c r="A72" s="186" t="s">
        <v>189</v>
      </c>
      <c r="B72" s="187">
        <v>2.23E-2</v>
      </c>
      <c r="C72" s="187">
        <f t="shared" si="1"/>
        <v>2.1999999999999999E-2</v>
      </c>
      <c r="D72" s="187" t="s">
        <v>199</v>
      </c>
    </row>
    <row r="73" spans="1:4" ht="20.25">
      <c r="A73" s="189" t="s">
        <v>189</v>
      </c>
      <c r="B73" s="190">
        <v>2.24E-2</v>
      </c>
      <c r="C73" s="190">
        <f t="shared" si="1"/>
        <v>2.2099999999999998E-2</v>
      </c>
      <c r="D73" s="191" t="s">
        <v>200</v>
      </c>
    </row>
    <row r="74" spans="1:4" ht="20.25">
      <c r="A74" s="180" t="s">
        <v>191</v>
      </c>
      <c r="B74" s="181">
        <v>1.9199999999999998E-2</v>
      </c>
      <c r="C74" s="181">
        <f t="shared" si="1"/>
        <v>1.8899999999999997E-2</v>
      </c>
      <c r="D74" s="181" t="s">
        <v>195</v>
      </c>
    </row>
    <row r="75" spans="1:4" ht="20.25">
      <c r="A75" s="180" t="s">
        <v>191</v>
      </c>
      <c r="B75" s="181">
        <v>1.9400000000000001E-2</v>
      </c>
      <c r="C75" s="181">
        <f t="shared" si="1"/>
        <v>1.9099999999999999E-2</v>
      </c>
      <c r="D75" s="182" t="s">
        <v>196</v>
      </c>
    </row>
    <row r="76" spans="1:4" ht="20.25">
      <c r="A76" s="180" t="s">
        <v>191</v>
      </c>
      <c r="B76" s="181">
        <v>1.95E-2</v>
      </c>
      <c r="C76" s="181">
        <f t="shared" si="1"/>
        <v>1.9199999999999998E-2</v>
      </c>
      <c r="D76" s="181" t="s">
        <v>197</v>
      </c>
    </row>
    <row r="77" spans="1:4" ht="20.25">
      <c r="A77" s="180" t="s">
        <v>191</v>
      </c>
      <c r="B77" s="181">
        <v>1.9599999999999999E-2</v>
      </c>
      <c r="C77" s="181">
        <f t="shared" si="1"/>
        <v>1.9299999999999998E-2</v>
      </c>
      <c r="D77" s="181" t="s">
        <v>198</v>
      </c>
    </row>
    <row r="78" spans="1:4" ht="20.25">
      <c r="A78" s="180" t="s">
        <v>191</v>
      </c>
      <c r="B78" s="181">
        <v>1.9699999999999999E-2</v>
      </c>
      <c r="C78" s="181">
        <f t="shared" si="1"/>
        <v>1.9399999999999997E-2</v>
      </c>
      <c r="D78" s="181" t="s">
        <v>199</v>
      </c>
    </row>
    <row r="79" spans="1:4" ht="20.25">
      <c r="A79" s="180" t="s">
        <v>191</v>
      </c>
      <c r="B79" s="181">
        <v>1.9900000000000001E-2</v>
      </c>
      <c r="C79" s="181">
        <f t="shared" si="1"/>
        <v>1.9599999999999999E-2</v>
      </c>
      <c r="D79" s="182" t="s">
        <v>200</v>
      </c>
    </row>
    <row r="80" spans="1:4" ht="20.25">
      <c r="A80" s="186" t="s">
        <v>279</v>
      </c>
      <c r="B80" s="187">
        <v>1.6719164483922862E-2</v>
      </c>
      <c r="C80" s="187">
        <f t="shared" si="1"/>
        <v>1.641916448392286E-2</v>
      </c>
      <c r="D80" s="187" t="s">
        <v>195</v>
      </c>
    </row>
    <row r="81" spans="1:4" ht="20.25">
      <c r="A81" s="186" t="s">
        <v>279</v>
      </c>
      <c r="B81" s="187">
        <v>1.6817895149469873E-2</v>
      </c>
      <c r="C81" s="187">
        <f t="shared" si="1"/>
        <v>1.6517895149469872E-2</v>
      </c>
      <c r="D81" s="188" t="s">
        <v>196</v>
      </c>
    </row>
    <row r="82" spans="1:4" ht="20.25">
      <c r="A82" s="186" t="s">
        <v>279</v>
      </c>
      <c r="B82" s="187">
        <v>1.6916638329319191E-2</v>
      </c>
      <c r="C82" s="187">
        <f t="shared" si="1"/>
        <v>1.661663832931919E-2</v>
      </c>
      <c r="D82" s="187" t="s">
        <v>197</v>
      </c>
    </row>
    <row r="83" spans="1:4" ht="20.25">
      <c r="A83" s="186" t="s">
        <v>279</v>
      </c>
      <c r="B83" s="187">
        <v>1.7018361803561401E-2</v>
      </c>
      <c r="C83" s="187">
        <f t="shared" si="1"/>
        <v>1.6718361803561399E-2</v>
      </c>
      <c r="D83" s="187" t="s">
        <v>198</v>
      </c>
    </row>
    <row r="84" spans="1:4" ht="20.25">
      <c r="A84" s="186" t="s">
        <v>279</v>
      </c>
      <c r="B84" s="187">
        <v>1.7217549188030423E-2</v>
      </c>
      <c r="C84" s="187">
        <f t="shared" si="1"/>
        <v>1.6917549188030422E-2</v>
      </c>
      <c r="D84" s="187" t="s">
        <v>199</v>
      </c>
    </row>
    <row r="85" spans="1:4" ht="20.25">
      <c r="A85" s="189" t="s">
        <v>279</v>
      </c>
      <c r="B85" s="190">
        <v>1.7316299200972388E-2</v>
      </c>
      <c r="C85" s="190">
        <f t="shared" si="1"/>
        <v>1.7016299200972387E-2</v>
      </c>
      <c r="D85" s="191" t="s">
        <v>200</v>
      </c>
    </row>
    <row r="86" spans="1:4" ht="20.25">
      <c r="A86" s="180" t="s">
        <v>74</v>
      </c>
      <c r="B86" s="181">
        <v>1.9290326619804243E-2</v>
      </c>
      <c r="C86" s="181" t="s">
        <v>287</v>
      </c>
      <c r="D86" s="181" t="s">
        <v>195</v>
      </c>
    </row>
    <row r="87" spans="1:4" ht="20.25">
      <c r="A87" s="180" t="s">
        <v>74</v>
      </c>
      <c r="B87" s="181">
        <v>1.9388190634203391E-2</v>
      </c>
      <c r="C87" s="181" t="s">
        <v>287</v>
      </c>
      <c r="D87" s="182" t="s">
        <v>196</v>
      </c>
    </row>
    <row r="88" spans="1:4" ht="20.25">
      <c r="A88" s="180" t="s">
        <v>74</v>
      </c>
      <c r="B88" s="181">
        <v>1.9486094531427686E-2</v>
      </c>
      <c r="C88" s="181" t="s">
        <v>287</v>
      </c>
      <c r="D88" s="181" t="s">
        <v>197</v>
      </c>
    </row>
    <row r="89" spans="1:4" ht="20.25">
      <c r="A89" s="180" t="s">
        <v>74</v>
      </c>
      <c r="B89" s="181">
        <v>1.9584037571530859E-2</v>
      </c>
      <c r="C89" s="181" t="s">
        <v>287</v>
      </c>
      <c r="D89" s="181" t="s">
        <v>198</v>
      </c>
    </row>
    <row r="90" spans="1:4" ht="20.25">
      <c r="A90" s="180" t="s">
        <v>74</v>
      </c>
      <c r="B90" s="181">
        <v>1.9682019032141385E-2</v>
      </c>
      <c r="C90" s="181" t="s">
        <v>287</v>
      </c>
      <c r="D90" s="181" t="s">
        <v>199</v>
      </c>
    </row>
    <row r="91" spans="1:4" ht="20.25">
      <c r="A91" s="180" t="s">
        <v>74</v>
      </c>
      <c r="B91" s="181">
        <v>1.9780038185125831E-2</v>
      </c>
      <c r="C91" s="181" t="s">
        <v>287</v>
      </c>
      <c r="D91" s="182" t="s">
        <v>200</v>
      </c>
    </row>
    <row r="92" spans="1:4" ht="20.25">
      <c r="A92" s="186" t="s">
        <v>78</v>
      </c>
      <c r="B92" s="187">
        <v>1.8758598492000934E-2</v>
      </c>
      <c r="C92" s="187" t="s">
        <v>287</v>
      </c>
      <c r="D92" s="187" t="s">
        <v>195</v>
      </c>
    </row>
    <row r="93" spans="1:4" ht="20.25">
      <c r="A93" s="186" t="s">
        <v>78</v>
      </c>
      <c r="B93" s="187">
        <v>1.8947641930760005E-2</v>
      </c>
      <c r="C93" s="187" t="s">
        <v>287</v>
      </c>
      <c r="D93" s="188" t="s">
        <v>196</v>
      </c>
    </row>
    <row r="94" spans="1:4" ht="20.25">
      <c r="A94" s="186" t="s">
        <v>78</v>
      </c>
      <c r="B94" s="187">
        <v>1.9136320009885889E-2</v>
      </c>
      <c r="C94" s="187" t="s">
        <v>287</v>
      </c>
      <c r="D94" s="187" t="s">
        <v>197</v>
      </c>
    </row>
    <row r="95" spans="1:4" ht="20.25">
      <c r="A95" s="186" t="s">
        <v>78</v>
      </c>
      <c r="B95" s="187">
        <v>1.9324636504382139E-2</v>
      </c>
      <c r="C95" s="187" t="s">
        <v>287</v>
      </c>
      <c r="D95" s="187" t="s">
        <v>198</v>
      </c>
    </row>
    <row r="96" spans="1:4" ht="20.25">
      <c r="A96" s="186" t="s">
        <v>78</v>
      </c>
      <c r="B96" s="187">
        <v>1.9512595141244257E-2</v>
      </c>
      <c r="C96" s="187" t="s">
        <v>287</v>
      </c>
      <c r="D96" s="187" t="s">
        <v>199</v>
      </c>
    </row>
    <row r="97" spans="1:4" ht="20.25">
      <c r="A97" s="189" t="s">
        <v>78</v>
      </c>
      <c r="B97" s="190">
        <v>1.9700199600251631E-2</v>
      </c>
      <c r="C97" s="190" t="s">
        <v>287</v>
      </c>
      <c r="D97" s="191" t="s">
        <v>200</v>
      </c>
    </row>
    <row r="98" spans="1:4" ht="20.25">
      <c r="A98" s="180" t="s">
        <v>280</v>
      </c>
      <c r="B98" s="181">
        <v>1.755158929483586E-2</v>
      </c>
      <c r="C98" s="181" t="s">
        <v>287</v>
      </c>
      <c r="D98" s="181" t="s">
        <v>195</v>
      </c>
    </row>
    <row r="99" spans="1:4" ht="20.25">
      <c r="A99" s="180" t="s">
        <v>280</v>
      </c>
      <c r="B99" s="181">
        <v>1.7653681907108046E-2</v>
      </c>
      <c r="C99" s="181" t="s">
        <v>287</v>
      </c>
      <c r="D99" s="182" t="s">
        <v>196</v>
      </c>
    </row>
    <row r="100" spans="1:4" ht="20.25">
      <c r="A100" s="180" t="s">
        <v>280</v>
      </c>
      <c r="B100" s="181">
        <v>1.7751863924295241E-2</v>
      </c>
      <c r="C100" s="181" t="s">
        <v>287</v>
      </c>
      <c r="D100" s="181" t="s">
        <v>197</v>
      </c>
    </row>
    <row r="101" spans="1:4" ht="20.25">
      <c r="A101" s="180" t="s">
        <v>280</v>
      </c>
      <c r="B101" s="181">
        <v>1.7850083402981665E-2</v>
      </c>
      <c r="C101" s="181" t="s">
        <v>287</v>
      </c>
      <c r="D101" s="181" t="s">
        <v>198</v>
      </c>
    </row>
    <row r="102" spans="1:4" ht="20.25">
      <c r="A102" s="180" t="s">
        <v>280</v>
      </c>
      <c r="B102" s="181">
        <v>1.7948339610455461E-2</v>
      </c>
      <c r="C102" s="181" t="s">
        <v>287</v>
      </c>
      <c r="D102" s="181" t="s">
        <v>199</v>
      </c>
    </row>
    <row r="103" spans="1:4" ht="20.25">
      <c r="A103" s="180" t="s">
        <v>280</v>
      </c>
      <c r="B103" s="181">
        <v>1.80466318319073E-2</v>
      </c>
      <c r="C103" s="181" t="s">
        <v>287</v>
      </c>
      <c r="D103" s="182" t="s">
        <v>200</v>
      </c>
    </row>
    <row r="104" spans="1:4" ht="20.25">
      <c r="A104" s="186" t="s">
        <v>281</v>
      </c>
      <c r="B104" s="187">
        <v>2.0118923359078254E-2</v>
      </c>
      <c r="C104" s="187">
        <f t="shared" si="1"/>
        <v>1.9818923359078252E-2</v>
      </c>
      <c r="D104" s="187" t="s">
        <v>195</v>
      </c>
    </row>
    <row r="105" spans="1:4" ht="20.25">
      <c r="A105" s="186" t="s">
        <v>281</v>
      </c>
      <c r="B105" s="187">
        <v>2.022630297362854E-2</v>
      </c>
      <c r="C105" s="187">
        <f t="shared" si="1"/>
        <v>1.9926302973628539E-2</v>
      </c>
      <c r="D105" s="188" t="s">
        <v>196</v>
      </c>
    </row>
    <row r="106" spans="1:4" ht="20.25">
      <c r="A106" s="186" t="s">
        <v>281</v>
      </c>
      <c r="B106" s="187">
        <v>2.0333585864420578E-2</v>
      </c>
      <c r="C106" s="187">
        <f t="shared" si="1"/>
        <v>2.0033585864420576E-2</v>
      </c>
      <c r="D106" s="187" t="s">
        <v>197</v>
      </c>
    </row>
    <row r="107" spans="1:4" ht="20.25">
      <c r="A107" s="186" t="s">
        <v>281</v>
      </c>
      <c r="B107" s="187">
        <v>2.0426445286614768E-2</v>
      </c>
      <c r="C107" s="187">
        <f t="shared" si="1"/>
        <v>2.0126445286614766E-2</v>
      </c>
      <c r="D107" s="187" t="s">
        <v>198</v>
      </c>
    </row>
    <row r="108" spans="1:4" ht="20.25">
      <c r="A108" s="186" t="s">
        <v>281</v>
      </c>
      <c r="B108" s="187">
        <v>2.0533640876433269E-2</v>
      </c>
      <c r="C108" s="187">
        <f t="shared" si="1"/>
        <v>2.0233640876433267E-2</v>
      </c>
      <c r="D108" s="187" t="s">
        <v>199</v>
      </c>
    </row>
    <row r="109" spans="1:4" ht="20.25">
      <c r="A109" s="189" t="s">
        <v>281</v>
      </c>
      <c r="B109" s="190">
        <v>2.0651383262325192E-2</v>
      </c>
      <c r="C109" s="190">
        <f t="shared" si="1"/>
        <v>2.035138326232519E-2</v>
      </c>
      <c r="D109" s="191" t="s">
        <v>200</v>
      </c>
    </row>
  </sheetData>
  <autoFilter ref="A1:D109" xr:uid="{A04C8F2B-9235-804C-AEA8-D6AF1721EB43}"/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B2:O52"/>
  <sheetViews>
    <sheetView showGridLines="0" zoomScaleNormal="100" workbookViewId="0">
      <selection activeCell="A6" sqref="A6"/>
    </sheetView>
  </sheetViews>
  <sheetFormatPr defaultColWidth="9.140625" defaultRowHeight="15"/>
  <cols>
    <col min="1" max="1" width="2.85546875" style="42" customWidth="1"/>
    <col min="2" max="2" width="19.140625" style="42" customWidth="1"/>
    <col min="3" max="3" width="8.42578125" style="42" customWidth="1"/>
    <col min="4" max="4" width="6.7109375" style="42" customWidth="1"/>
    <col min="5" max="5" width="10.140625" style="42" customWidth="1"/>
    <col min="6" max="6" width="12" style="42" customWidth="1"/>
    <col min="7" max="7" width="6.28515625" style="43" customWidth="1"/>
    <col min="8" max="8" width="9.42578125" style="43" customWidth="1"/>
    <col min="9" max="9" width="7.7109375" style="43" customWidth="1"/>
    <col min="10" max="10" width="18.7109375" style="42" customWidth="1"/>
    <col min="11" max="11" width="11.140625" style="42" customWidth="1"/>
    <col min="12" max="12" width="11.140625" style="44" customWidth="1"/>
    <col min="13" max="13" width="24" style="42" customWidth="1"/>
    <col min="14" max="14" width="31.42578125" style="42" customWidth="1"/>
    <col min="15" max="15" width="11.140625" style="42" customWidth="1"/>
    <col min="16" max="16" width="24" style="42" customWidth="1"/>
    <col min="17" max="17" width="31.42578125" style="42" customWidth="1"/>
    <col min="18" max="18" width="11.140625" style="42" customWidth="1"/>
    <col min="19" max="19" width="24" style="42" customWidth="1"/>
    <col min="20" max="20" width="31.42578125" style="42" customWidth="1"/>
    <col min="21" max="16384" width="9.140625" style="42"/>
  </cols>
  <sheetData>
    <row r="2" spans="2:14" ht="15" customHeight="1">
      <c r="B2" s="222" t="s">
        <v>55</v>
      </c>
      <c r="C2" s="222"/>
    </row>
    <row r="3" spans="2:14" ht="15" customHeight="1">
      <c r="B3" s="45" t="s">
        <v>56</v>
      </c>
      <c r="C3" s="46">
        <f>11/500</f>
        <v>2.1999999999999999E-2</v>
      </c>
    </row>
    <row r="4" spans="2:14" ht="15" customHeight="1">
      <c r="B4" s="45" t="s">
        <v>55</v>
      </c>
      <c r="C4" s="46">
        <v>0.05</v>
      </c>
    </row>
    <row r="5" spans="2:14" ht="15" customHeight="1">
      <c r="C5" s="47"/>
    </row>
    <row r="6" spans="2:14" ht="15" customHeight="1">
      <c r="B6" s="222" t="s">
        <v>57</v>
      </c>
      <c r="C6" s="222"/>
    </row>
    <row r="7" spans="2:14" ht="15" customHeight="1">
      <c r="B7" s="48" t="s">
        <v>58</v>
      </c>
      <c r="C7" s="49" t="s">
        <v>59</v>
      </c>
    </row>
    <row r="8" spans="2:14" ht="15" customHeight="1">
      <c r="B8" s="45" t="s">
        <v>60</v>
      </c>
      <c r="C8" s="50">
        <v>3.71</v>
      </c>
    </row>
    <row r="9" spans="2:14" ht="15" customHeight="1">
      <c r="B9" s="45" t="s">
        <v>61</v>
      </c>
      <c r="C9" s="50">
        <v>20</v>
      </c>
    </row>
    <row r="10" spans="2:14" ht="15" customHeight="1">
      <c r="B10" s="45" t="s">
        <v>34</v>
      </c>
      <c r="C10" s="50">
        <v>15</v>
      </c>
    </row>
    <row r="11" spans="2:14" ht="15" customHeight="1">
      <c r="B11" s="45" t="s">
        <v>62</v>
      </c>
      <c r="C11" s="50">
        <v>0</v>
      </c>
    </row>
    <row r="13" spans="2:14" ht="15" customHeight="1">
      <c r="B13" s="222" t="s">
        <v>12</v>
      </c>
      <c r="C13" s="222"/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222"/>
    </row>
    <row r="14" spans="2:14" ht="30">
      <c r="B14" s="51" t="s">
        <v>28</v>
      </c>
      <c r="C14" s="52" t="s">
        <v>63</v>
      </c>
      <c r="D14" s="52" t="s">
        <v>64</v>
      </c>
      <c r="E14" s="52" t="s">
        <v>55</v>
      </c>
      <c r="F14" s="52" t="s">
        <v>65</v>
      </c>
      <c r="G14" s="52" t="s">
        <v>66</v>
      </c>
      <c r="H14" s="52" t="s">
        <v>67</v>
      </c>
      <c r="I14" s="52" t="s">
        <v>68</v>
      </c>
      <c r="J14" s="52" t="s">
        <v>69</v>
      </c>
      <c r="K14" s="53" t="s">
        <v>70</v>
      </c>
      <c r="L14" s="54" t="s">
        <v>71</v>
      </c>
      <c r="M14" s="52" t="s">
        <v>72</v>
      </c>
      <c r="N14" s="52" t="s">
        <v>73</v>
      </c>
    </row>
    <row r="15" spans="2:14" ht="15" customHeight="1">
      <c r="B15" s="55" t="s">
        <v>74</v>
      </c>
      <c r="C15" s="56">
        <v>14.8</v>
      </c>
      <c r="D15" s="57">
        <v>10</v>
      </c>
      <c r="E15" s="58">
        <v>16</v>
      </c>
      <c r="F15" s="59">
        <f t="shared" ref="F15:F32" si="0">+D15*$C$3+E15*$C$4</f>
        <v>1.02</v>
      </c>
      <c r="G15" s="59">
        <v>0</v>
      </c>
      <c r="H15" s="59">
        <v>1.45</v>
      </c>
      <c r="I15" s="59">
        <v>0</v>
      </c>
      <c r="J15" s="59">
        <f t="shared" ref="J15:J32" si="1">+F15+G15+H15+I15</f>
        <v>2.4699999999999998</v>
      </c>
      <c r="K15" s="56">
        <v>1.59</v>
      </c>
      <c r="L15" s="60"/>
      <c r="M15" s="56">
        <v>0</v>
      </c>
      <c r="N15" s="56">
        <f t="shared" ref="N15:N32" si="2">C15+F15+G15+H15+I15</f>
        <v>17.27</v>
      </c>
    </row>
    <row r="16" spans="2:14" ht="15" customHeight="1">
      <c r="B16" s="55" t="s">
        <v>75</v>
      </c>
      <c r="C16" s="56">
        <v>14.8</v>
      </c>
      <c r="D16" s="57">
        <v>10</v>
      </c>
      <c r="E16" s="58">
        <v>16</v>
      </c>
      <c r="F16" s="59">
        <f t="shared" si="0"/>
        <v>1.02</v>
      </c>
      <c r="G16" s="59">
        <v>0</v>
      </c>
      <c r="H16" s="59">
        <v>1.45</v>
      </c>
      <c r="I16" s="59">
        <v>0</v>
      </c>
      <c r="J16" s="59">
        <f t="shared" si="1"/>
        <v>2.4699999999999998</v>
      </c>
      <c r="K16" s="56">
        <v>1.65</v>
      </c>
      <c r="L16" s="60"/>
      <c r="M16" s="56">
        <v>0</v>
      </c>
      <c r="N16" s="56">
        <f t="shared" si="2"/>
        <v>17.27</v>
      </c>
    </row>
    <row r="17" spans="2:14" ht="15" customHeight="1">
      <c r="B17" s="55" t="s">
        <v>76</v>
      </c>
      <c r="C17" s="56">
        <v>14.8</v>
      </c>
      <c r="D17" s="57">
        <v>10</v>
      </c>
      <c r="E17" s="58">
        <v>16</v>
      </c>
      <c r="F17" s="59">
        <f t="shared" si="0"/>
        <v>1.02</v>
      </c>
      <c r="G17" s="59">
        <v>0</v>
      </c>
      <c r="H17" s="59">
        <v>1.45</v>
      </c>
      <c r="I17" s="59">
        <v>0</v>
      </c>
      <c r="J17" s="59">
        <f t="shared" si="1"/>
        <v>2.4699999999999998</v>
      </c>
      <c r="K17" s="56">
        <v>2.5</v>
      </c>
      <c r="L17" s="60"/>
      <c r="M17" s="56">
        <v>0</v>
      </c>
      <c r="N17" s="56">
        <f t="shared" si="2"/>
        <v>17.27</v>
      </c>
    </row>
    <row r="18" spans="2:14" ht="15" customHeight="1">
      <c r="B18" s="55" t="s">
        <v>29</v>
      </c>
      <c r="C18" s="56">
        <v>14.8</v>
      </c>
      <c r="D18" s="57">
        <v>10</v>
      </c>
      <c r="E18" s="58">
        <v>16</v>
      </c>
      <c r="F18" s="59">
        <f t="shared" si="0"/>
        <v>1.02</v>
      </c>
      <c r="G18" s="59">
        <v>0</v>
      </c>
      <c r="H18" s="59">
        <v>1.45</v>
      </c>
      <c r="I18" s="59">
        <v>0</v>
      </c>
      <c r="J18" s="59">
        <f t="shared" si="1"/>
        <v>2.4699999999999998</v>
      </c>
      <c r="K18" s="56">
        <v>0.7</v>
      </c>
      <c r="L18" s="60">
        <v>0</v>
      </c>
      <c r="M18" s="56">
        <v>0</v>
      </c>
      <c r="N18" s="56">
        <f t="shared" si="2"/>
        <v>17.27</v>
      </c>
    </row>
    <row r="19" spans="2:14" ht="15" customHeight="1">
      <c r="B19" s="55" t="s">
        <v>77</v>
      </c>
      <c r="C19" s="56">
        <v>14.8</v>
      </c>
      <c r="D19" s="57">
        <v>10</v>
      </c>
      <c r="E19" s="58">
        <v>16</v>
      </c>
      <c r="F19" s="59">
        <f t="shared" si="0"/>
        <v>1.02</v>
      </c>
      <c r="G19" s="59">
        <v>0</v>
      </c>
      <c r="H19" s="59">
        <v>1.45</v>
      </c>
      <c r="I19" s="59">
        <v>0</v>
      </c>
      <c r="J19" s="59">
        <f t="shared" si="1"/>
        <v>2.4699999999999998</v>
      </c>
      <c r="K19" s="56">
        <v>2.6</v>
      </c>
      <c r="L19" s="60"/>
      <c r="M19" s="56">
        <v>0</v>
      </c>
      <c r="N19" s="56">
        <f t="shared" si="2"/>
        <v>17.27</v>
      </c>
    </row>
    <row r="20" spans="2:14" ht="15" customHeight="1">
      <c r="B20" s="55" t="s">
        <v>78</v>
      </c>
      <c r="C20" s="56">
        <v>14.8</v>
      </c>
      <c r="D20" s="57">
        <v>10</v>
      </c>
      <c r="E20" s="58">
        <v>16</v>
      </c>
      <c r="F20" s="59">
        <f t="shared" si="0"/>
        <v>1.02</v>
      </c>
      <c r="G20" s="59">
        <v>0</v>
      </c>
      <c r="H20" s="59">
        <v>1.45</v>
      </c>
      <c r="I20" s="59">
        <v>0</v>
      </c>
      <c r="J20" s="59">
        <f t="shared" si="1"/>
        <v>2.4699999999999998</v>
      </c>
      <c r="K20" s="56">
        <v>1.59</v>
      </c>
      <c r="L20" s="60"/>
      <c r="M20" s="56">
        <v>0</v>
      </c>
      <c r="N20" s="56">
        <f t="shared" si="2"/>
        <v>17.27</v>
      </c>
    </row>
    <row r="21" spans="2:14" ht="15" customHeight="1">
      <c r="B21" s="55" t="s">
        <v>79</v>
      </c>
      <c r="C21" s="56">
        <v>14.8</v>
      </c>
      <c r="D21" s="57">
        <v>10</v>
      </c>
      <c r="E21" s="58">
        <v>16</v>
      </c>
      <c r="F21" s="59">
        <f t="shared" si="0"/>
        <v>1.02</v>
      </c>
      <c r="G21" s="59">
        <v>0</v>
      </c>
      <c r="H21" s="59">
        <v>1.45</v>
      </c>
      <c r="I21" s="59">
        <v>0</v>
      </c>
      <c r="J21" s="59">
        <f t="shared" si="1"/>
        <v>2.4699999999999998</v>
      </c>
      <c r="K21" s="56">
        <v>1.5</v>
      </c>
      <c r="L21" s="60"/>
      <c r="M21" s="56">
        <v>0</v>
      </c>
      <c r="N21" s="56">
        <f t="shared" si="2"/>
        <v>17.27</v>
      </c>
    </row>
    <row r="22" spans="2:14" ht="15" customHeight="1">
      <c r="B22" s="55" t="s">
        <v>80</v>
      </c>
      <c r="C22" s="56">
        <v>14.8</v>
      </c>
      <c r="D22" s="57">
        <v>10</v>
      </c>
      <c r="E22" s="58">
        <v>16</v>
      </c>
      <c r="F22" s="59">
        <f t="shared" si="0"/>
        <v>1.02</v>
      </c>
      <c r="G22" s="59">
        <v>0</v>
      </c>
      <c r="H22" s="59">
        <v>1.45</v>
      </c>
      <c r="I22" s="59">
        <v>0</v>
      </c>
      <c r="J22" s="59">
        <f t="shared" si="1"/>
        <v>2.4699999999999998</v>
      </c>
      <c r="K22" s="56">
        <v>1.7</v>
      </c>
      <c r="L22" s="60"/>
      <c r="M22" s="56">
        <v>0</v>
      </c>
      <c r="N22" s="56">
        <f t="shared" si="2"/>
        <v>17.27</v>
      </c>
    </row>
    <row r="23" spans="2:14" ht="15" customHeight="1">
      <c r="B23" s="55" t="s">
        <v>81</v>
      </c>
      <c r="C23" s="56">
        <v>14.8</v>
      </c>
      <c r="D23" s="57">
        <v>10</v>
      </c>
      <c r="E23" s="58">
        <v>16</v>
      </c>
      <c r="F23" s="59">
        <f t="shared" si="0"/>
        <v>1.02</v>
      </c>
      <c r="G23" s="59">
        <v>0</v>
      </c>
      <c r="H23" s="59">
        <v>1.45</v>
      </c>
      <c r="I23" s="59">
        <v>0</v>
      </c>
      <c r="J23" s="59">
        <f t="shared" si="1"/>
        <v>2.4699999999999998</v>
      </c>
      <c r="K23" s="56">
        <v>2.2000000000000002</v>
      </c>
      <c r="L23" s="60"/>
      <c r="M23" s="56">
        <v>0</v>
      </c>
      <c r="N23" s="56">
        <f t="shared" si="2"/>
        <v>17.27</v>
      </c>
    </row>
    <row r="24" spans="2:14" ht="15" customHeight="1">
      <c r="B24" s="55" t="s">
        <v>82</v>
      </c>
      <c r="C24" s="56">
        <v>14.8</v>
      </c>
      <c r="D24" s="57">
        <v>10</v>
      </c>
      <c r="E24" s="58">
        <v>16</v>
      </c>
      <c r="F24" s="59">
        <f t="shared" si="0"/>
        <v>1.02</v>
      </c>
      <c r="G24" s="59">
        <v>0</v>
      </c>
      <c r="H24" s="59">
        <v>1.45</v>
      </c>
      <c r="I24" s="59">
        <v>0</v>
      </c>
      <c r="J24" s="59">
        <f t="shared" si="1"/>
        <v>2.4699999999999998</v>
      </c>
      <c r="K24" s="56">
        <v>0</v>
      </c>
      <c r="L24" s="60"/>
      <c r="M24" s="56">
        <v>0</v>
      </c>
      <c r="N24" s="56">
        <f t="shared" si="2"/>
        <v>17.27</v>
      </c>
    </row>
    <row r="25" spans="2:14" ht="15" customHeight="1">
      <c r="B25" s="55" t="s">
        <v>83</v>
      </c>
      <c r="C25" s="56">
        <v>14.8</v>
      </c>
      <c r="D25" s="57">
        <v>10</v>
      </c>
      <c r="E25" s="58">
        <v>16</v>
      </c>
      <c r="F25" s="59">
        <f t="shared" si="0"/>
        <v>1.02</v>
      </c>
      <c r="G25" s="59">
        <v>0</v>
      </c>
      <c r="H25" s="59">
        <v>1.45</v>
      </c>
      <c r="I25" s="59">
        <v>0</v>
      </c>
      <c r="J25" s="59">
        <f t="shared" si="1"/>
        <v>2.4699999999999998</v>
      </c>
      <c r="K25" s="56">
        <v>1.03</v>
      </c>
      <c r="L25" s="60"/>
      <c r="M25" s="56">
        <v>0</v>
      </c>
      <c r="N25" s="56">
        <f t="shared" si="2"/>
        <v>17.27</v>
      </c>
    </row>
    <row r="26" spans="2:14" ht="15" customHeight="1">
      <c r="B26" s="55" t="s">
        <v>84</v>
      </c>
      <c r="C26" s="56">
        <v>14.8</v>
      </c>
      <c r="D26" s="57">
        <v>10</v>
      </c>
      <c r="E26" s="58">
        <v>16</v>
      </c>
      <c r="F26" s="59">
        <f t="shared" si="0"/>
        <v>1.02</v>
      </c>
      <c r="G26" s="59">
        <v>0</v>
      </c>
      <c r="H26" s="59">
        <v>1.45</v>
      </c>
      <c r="I26" s="59">
        <v>0</v>
      </c>
      <c r="J26" s="59">
        <f t="shared" si="1"/>
        <v>2.4699999999999998</v>
      </c>
      <c r="K26" s="56">
        <v>0.9</v>
      </c>
      <c r="L26" s="60"/>
      <c r="M26" s="56">
        <v>0</v>
      </c>
      <c r="N26" s="56">
        <f t="shared" si="2"/>
        <v>17.27</v>
      </c>
    </row>
    <row r="27" spans="2:14" ht="15" customHeight="1">
      <c r="B27" s="55" t="s">
        <v>85</v>
      </c>
      <c r="C27" s="56">
        <v>14.8</v>
      </c>
      <c r="D27" s="57">
        <v>10</v>
      </c>
      <c r="E27" s="58">
        <v>16</v>
      </c>
      <c r="F27" s="59">
        <f t="shared" si="0"/>
        <v>1.02</v>
      </c>
      <c r="G27" s="59">
        <v>0</v>
      </c>
      <c r="H27" s="59">
        <v>1.45</v>
      </c>
      <c r="I27" s="59">
        <v>0</v>
      </c>
      <c r="J27" s="59">
        <f t="shared" si="1"/>
        <v>2.4699999999999998</v>
      </c>
      <c r="K27" s="56">
        <v>1.5</v>
      </c>
      <c r="L27" s="60"/>
      <c r="M27" s="56">
        <v>0</v>
      </c>
      <c r="N27" s="56">
        <f t="shared" si="2"/>
        <v>17.27</v>
      </c>
    </row>
    <row r="28" spans="2:14" ht="15" customHeight="1">
      <c r="B28" s="55" t="s">
        <v>86</v>
      </c>
      <c r="C28" s="56">
        <v>14.8</v>
      </c>
      <c r="D28" s="57">
        <v>10</v>
      </c>
      <c r="E28" s="58">
        <v>16</v>
      </c>
      <c r="F28" s="59">
        <f t="shared" si="0"/>
        <v>1.02</v>
      </c>
      <c r="G28" s="59">
        <v>0</v>
      </c>
      <c r="H28" s="59">
        <v>1.45</v>
      </c>
      <c r="I28" s="59">
        <v>0</v>
      </c>
      <c r="J28" s="59">
        <f t="shared" si="1"/>
        <v>2.4699999999999998</v>
      </c>
      <c r="K28" s="56">
        <v>1.5</v>
      </c>
      <c r="L28" s="60"/>
      <c r="M28" s="56">
        <v>0</v>
      </c>
      <c r="N28" s="56">
        <f t="shared" si="2"/>
        <v>17.27</v>
      </c>
    </row>
    <row r="29" spans="2:14" ht="15" customHeight="1">
      <c r="B29" s="55" t="s">
        <v>87</v>
      </c>
      <c r="C29" s="56">
        <v>14.8</v>
      </c>
      <c r="D29" s="57">
        <v>10</v>
      </c>
      <c r="E29" s="58">
        <v>16</v>
      </c>
      <c r="F29" s="59">
        <f t="shared" si="0"/>
        <v>1.02</v>
      </c>
      <c r="G29" s="59">
        <v>0</v>
      </c>
      <c r="H29" s="59">
        <v>1.45</v>
      </c>
      <c r="I29" s="59">
        <v>0</v>
      </c>
      <c r="J29" s="59">
        <f t="shared" si="1"/>
        <v>2.4699999999999998</v>
      </c>
      <c r="K29" s="56">
        <v>0</v>
      </c>
      <c r="L29" s="60"/>
      <c r="M29" s="56">
        <v>0</v>
      </c>
      <c r="N29" s="56">
        <f t="shared" si="2"/>
        <v>17.27</v>
      </c>
    </row>
    <row r="30" spans="2:14" s="61" customFormat="1" ht="15" customHeight="1">
      <c r="B30" s="55" t="s">
        <v>88</v>
      </c>
      <c r="C30" s="56">
        <v>14.8</v>
      </c>
      <c r="D30" s="57">
        <v>10</v>
      </c>
      <c r="E30" s="58">
        <v>16</v>
      </c>
      <c r="F30" s="59">
        <f t="shared" si="0"/>
        <v>1.02</v>
      </c>
      <c r="G30" s="59">
        <v>0</v>
      </c>
      <c r="H30" s="59">
        <v>1.45</v>
      </c>
      <c r="I30" s="59">
        <v>0</v>
      </c>
      <c r="J30" s="59">
        <f t="shared" si="1"/>
        <v>2.4699999999999998</v>
      </c>
      <c r="K30" s="56">
        <v>2.2000000000000002</v>
      </c>
      <c r="L30" s="60"/>
      <c r="M30" s="56">
        <v>0</v>
      </c>
      <c r="N30" s="56">
        <f t="shared" si="2"/>
        <v>17.27</v>
      </c>
    </row>
    <row r="31" spans="2:14" ht="15" customHeight="1">
      <c r="B31" s="55" t="s">
        <v>89</v>
      </c>
      <c r="C31" s="56">
        <v>14.8</v>
      </c>
      <c r="D31" s="57">
        <v>10</v>
      </c>
      <c r="E31" s="58">
        <v>16</v>
      </c>
      <c r="F31" s="59">
        <f t="shared" si="0"/>
        <v>1.02</v>
      </c>
      <c r="G31" s="59">
        <v>0</v>
      </c>
      <c r="H31" s="59">
        <v>1.45</v>
      </c>
      <c r="I31" s="59">
        <v>0</v>
      </c>
      <c r="J31" s="59">
        <f t="shared" si="1"/>
        <v>2.4699999999999998</v>
      </c>
      <c r="K31" s="56">
        <v>1.57</v>
      </c>
      <c r="L31" s="60"/>
      <c r="M31" s="56">
        <v>0</v>
      </c>
      <c r="N31" s="56">
        <f t="shared" si="2"/>
        <v>17.27</v>
      </c>
    </row>
    <row r="32" spans="2:14" ht="15" customHeight="1">
      <c r="B32" s="55" t="s">
        <v>90</v>
      </c>
      <c r="C32" s="56">
        <v>14.8</v>
      </c>
      <c r="D32" s="57">
        <v>10</v>
      </c>
      <c r="E32" s="58">
        <v>16</v>
      </c>
      <c r="F32" s="59">
        <f t="shared" si="0"/>
        <v>1.02</v>
      </c>
      <c r="G32" s="59">
        <v>0</v>
      </c>
      <c r="H32" s="59">
        <v>1.45</v>
      </c>
      <c r="I32" s="59">
        <v>0</v>
      </c>
      <c r="J32" s="59">
        <f t="shared" si="1"/>
        <v>2.4699999999999998</v>
      </c>
      <c r="K32" s="56">
        <v>0.64</v>
      </c>
      <c r="L32" s="60"/>
      <c r="M32" s="56">
        <v>0</v>
      </c>
      <c r="N32" s="56">
        <f t="shared" si="2"/>
        <v>17.27</v>
      </c>
    </row>
    <row r="33" spans="2:15" ht="15" customHeight="1">
      <c r="B33" s="1" t="s">
        <v>91</v>
      </c>
      <c r="C33" s="62"/>
      <c r="D33" s="62"/>
      <c r="E33" s="62"/>
      <c r="F33" s="62"/>
      <c r="G33" s="62">
        <v>2.84</v>
      </c>
      <c r="H33" s="62"/>
      <c r="I33" s="62">
        <v>10.69</v>
      </c>
      <c r="J33" s="62"/>
      <c r="K33" s="62"/>
      <c r="L33" s="63"/>
      <c r="M33" s="62"/>
      <c r="N33" s="62"/>
    </row>
    <row r="34" spans="2:15" ht="15" customHeight="1">
      <c r="B34" s="221" t="s">
        <v>92</v>
      </c>
      <c r="C34" s="221"/>
      <c r="D34" s="221"/>
      <c r="E34" s="221"/>
      <c r="F34" s="221"/>
      <c r="G34" s="221"/>
      <c r="H34" s="221"/>
      <c r="I34" s="221"/>
      <c r="J34" s="221"/>
      <c r="K34" s="221"/>
      <c r="L34" s="221"/>
      <c r="M34" s="221"/>
      <c r="N34" s="221"/>
    </row>
    <row r="35" spans="2:15" ht="15" customHeight="1">
      <c r="B35" s="221" t="s">
        <v>93</v>
      </c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1"/>
    </row>
    <row r="36" spans="2:15" ht="15" customHeight="1">
      <c r="B36" s="221" t="s">
        <v>94</v>
      </c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</row>
    <row r="37" spans="2:15" ht="15" customHeight="1">
      <c r="G37" s="42"/>
      <c r="H37" s="42"/>
      <c r="I37" s="42"/>
    </row>
    <row r="38" spans="2:15" ht="15" customHeight="1">
      <c r="G38" s="42"/>
      <c r="H38" s="42"/>
      <c r="I38" s="42"/>
      <c r="O38" s="64"/>
    </row>
    <row r="39" spans="2:15" ht="15" customHeight="1">
      <c r="G39" s="42"/>
      <c r="H39" s="42"/>
      <c r="I39" s="42"/>
    </row>
    <row r="40" spans="2:15" ht="15" customHeight="1">
      <c r="G40" s="42"/>
      <c r="H40" s="42"/>
      <c r="I40" s="42"/>
    </row>
    <row r="41" spans="2:15" ht="15" customHeight="1">
      <c r="G41" s="42"/>
      <c r="H41" s="42"/>
      <c r="I41" s="42"/>
    </row>
    <row r="42" spans="2:15" ht="15" customHeight="1">
      <c r="G42" s="42"/>
      <c r="H42" s="42"/>
      <c r="I42" s="42"/>
    </row>
    <row r="43" spans="2:15" ht="15" customHeight="1">
      <c r="G43" s="42"/>
      <c r="H43" s="42"/>
      <c r="I43" s="42"/>
    </row>
    <row r="44" spans="2:15" ht="15" customHeight="1">
      <c r="G44" s="42"/>
      <c r="H44" s="42"/>
      <c r="I44" s="42"/>
    </row>
    <row r="45" spans="2:15" ht="15" customHeight="1">
      <c r="G45" s="42"/>
      <c r="H45" s="42"/>
      <c r="I45" s="42"/>
    </row>
    <row r="46" spans="2:15" ht="15" customHeight="1">
      <c r="G46" s="42"/>
      <c r="H46" s="42"/>
      <c r="I46" s="42"/>
    </row>
    <row r="47" spans="2:15" ht="15" customHeight="1">
      <c r="G47" s="42"/>
      <c r="H47" s="42"/>
      <c r="I47" s="42"/>
    </row>
    <row r="48" spans="2:15" ht="15" customHeight="1">
      <c r="G48" s="42"/>
      <c r="H48" s="42"/>
      <c r="I48" s="42"/>
    </row>
    <row r="49" spans="12:12" s="42" customFormat="1" ht="15" customHeight="1">
      <c r="L49" s="44"/>
    </row>
    <row r="50" spans="12:12" s="42" customFormat="1" ht="15" customHeight="1">
      <c r="L50" s="44"/>
    </row>
    <row r="51" spans="12:12" s="42" customFormat="1" ht="15" customHeight="1">
      <c r="L51" s="44"/>
    </row>
    <row r="52" spans="12:12" s="42" customFormat="1" ht="15" customHeight="1">
      <c r="L52" s="44"/>
    </row>
  </sheetData>
  <mergeCells count="6">
    <mergeCell ref="B36:N36"/>
    <mergeCell ref="B2:C2"/>
    <mergeCell ref="B6:C6"/>
    <mergeCell ref="B13:N13"/>
    <mergeCell ref="B34:N34"/>
    <mergeCell ref="B35:N35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Resumo</vt:lpstr>
      <vt:lpstr>Dia de Vencimento</vt:lpstr>
      <vt:lpstr>Range Refin</vt:lpstr>
      <vt:lpstr>Dados de entrada</vt:lpstr>
      <vt:lpstr>Fluxo detalhado</vt:lpstr>
      <vt:lpstr>Apoio</vt:lpstr>
      <vt:lpstr>Tabela de Comissionamento</vt:lpstr>
      <vt:lpstr>Tabelas de Custos marginais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Alisson Rocha</dc:creator>
  <dc:description/>
  <cp:lastModifiedBy>Claudio Alves Carvalho</cp:lastModifiedBy>
  <cp:revision>1</cp:revision>
  <dcterms:created xsi:type="dcterms:W3CDTF">2016-02-23T13:40:04Z</dcterms:created>
  <dcterms:modified xsi:type="dcterms:W3CDTF">2026-07-09T22:35:50Z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e4dcfd-c72e-4a49-b6ae-1a0a92e61582_ActionId">
    <vt:lpwstr>490dd4b7-a868-46e6-8fed-52dde6feeedf</vt:lpwstr>
  </property>
  <property fmtid="{D5CDD505-2E9C-101B-9397-08002B2CF9AE}" pid="3" name="MSIP_Label_7ee4dcfd-c72e-4a49-b6ae-1a0a92e61582_ContentBits">
    <vt:lpwstr>0</vt:lpwstr>
  </property>
  <property fmtid="{D5CDD505-2E9C-101B-9397-08002B2CF9AE}" pid="4" name="MSIP_Label_7ee4dcfd-c72e-4a49-b6ae-1a0a92e61582_Enabled">
    <vt:lpwstr>true</vt:lpwstr>
  </property>
  <property fmtid="{D5CDD505-2E9C-101B-9397-08002B2CF9AE}" pid="5" name="MSIP_Label_7ee4dcfd-c72e-4a49-b6ae-1a0a92e61582_Method">
    <vt:lpwstr>Privileged</vt:lpwstr>
  </property>
  <property fmtid="{D5CDD505-2E9C-101B-9397-08002B2CF9AE}" pid="6" name="MSIP_Label_7ee4dcfd-c72e-4a49-b6ae-1a0a92e61582_Name">
    <vt:lpwstr>Publica</vt:lpwstr>
  </property>
  <property fmtid="{D5CDD505-2E9C-101B-9397-08002B2CF9AE}" pid="7" name="MSIP_Label_7ee4dcfd-c72e-4a49-b6ae-1a0a92e61582_SetDate">
    <vt:lpwstr>2022-02-17T18:10:37Z</vt:lpwstr>
  </property>
  <property fmtid="{D5CDD505-2E9C-101B-9397-08002B2CF9AE}" pid="8" name="MSIP_Label_7ee4dcfd-c72e-4a49-b6ae-1a0a92e61582_SiteId">
    <vt:lpwstr>6c323b1c-4f63-4552-a20f-6d0da0bbf032</vt:lpwstr>
  </property>
  <property fmtid="{D5CDD505-2E9C-101B-9397-08002B2CF9AE}" pid="9" name="MSIP_Label_5d24d9c5-38c1-495b-ab07-d4fc08626d86_Enabled">
    <vt:lpwstr>true</vt:lpwstr>
  </property>
  <property fmtid="{D5CDD505-2E9C-101B-9397-08002B2CF9AE}" pid="10" name="MSIP_Label_5d24d9c5-38c1-495b-ab07-d4fc08626d86_SetDate">
    <vt:lpwstr>2025-09-12T13:22:14Z</vt:lpwstr>
  </property>
  <property fmtid="{D5CDD505-2E9C-101B-9397-08002B2CF9AE}" pid="11" name="MSIP_Label_5d24d9c5-38c1-495b-ab07-d4fc08626d86_Method">
    <vt:lpwstr>Privileged</vt:lpwstr>
  </property>
  <property fmtid="{D5CDD505-2E9C-101B-9397-08002B2CF9AE}" pid="12" name="MSIP_Label_5d24d9c5-38c1-495b-ab07-d4fc08626d86_Name">
    <vt:lpwstr>Público</vt:lpwstr>
  </property>
  <property fmtid="{D5CDD505-2E9C-101B-9397-08002B2CF9AE}" pid="13" name="MSIP_Label_5d24d9c5-38c1-495b-ab07-d4fc08626d86_SiteId">
    <vt:lpwstr>05e665c9-c502-4a19-98a5-a913a6f52be8</vt:lpwstr>
  </property>
  <property fmtid="{D5CDD505-2E9C-101B-9397-08002B2CF9AE}" pid="14" name="MSIP_Label_5d24d9c5-38c1-495b-ab07-d4fc08626d86_ActionId">
    <vt:lpwstr>fb273295-80b1-4553-9f14-e4c1a07b7571</vt:lpwstr>
  </property>
  <property fmtid="{D5CDD505-2E9C-101B-9397-08002B2CF9AE}" pid="15" name="MSIP_Label_5d24d9c5-38c1-495b-ab07-d4fc08626d86_ContentBits">
    <vt:lpwstr>0</vt:lpwstr>
  </property>
  <property fmtid="{D5CDD505-2E9C-101B-9397-08002B2CF9AE}" pid="16" name="MSIP_Label_5d24d9c5-38c1-495b-ab07-d4fc08626d86_Tag">
    <vt:lpwstr>50, 0, 1, 1</vt:lpwstr>
  </property>
</Properties>
</file>